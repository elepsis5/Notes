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<sst xmlns="http://schemas.openxmlformats.org/spreadsheetml/2006/main" count="410" uniqueCount="203">
  <si>
    <t xml:space="preserve">Название</t>
  </si>
  <si>
    <t xml:space="preserve">Описание</t>
  </si>
  <si>
    <t xml:space="preserve">Артикул</t>
  </si>
  <si>
    <t xml:space="preserve">Бренд</t>
  </si>
  <si>
    <t xml:space="preserve">Категория</t>
  </si>
  <si>
    <t xml:space="preserve">Страна</t>
  </si>
  <si>
    <t xml:space="preserve">Длина</t>
  </si>
  <si>
    <t xml:space="preserve">Ширина</t>
  </si>
  <si>
    <t xml:space="preserve">Высота</t>
  </si>
  <si>
    <t xml:space="preserve">Мощность</t>
  </si>
  <si>
    <t xml:space="preserve">Напряжение</t>
  </si>
  <si>
    <t xml:space="preserve">Каталожная цена</t>
  </si>
  <si>
    <t xml:space="preserve">Дилерская цена</t>
  </si>
  <si>
    <t xml:space="preserve">Валюта</t>
  </si>
  <si>
    <t xml:space="preserve">Наличие</t>
  </si>
  <si>
    <t xml:space="preserve">Сроки поставки</t>
  </si>
  <si>
    <t xml:space="preserve">файлы</t>
  </si>
  <si>
    <t xml:space="preserve">Изображения и файлы</t>
  </si>
  <si>
    <t xml:space="preserve">Парам_1</t>
  </si>
  <si>
    <t xml:space="preserve">Парам_2</t>
  </si>
  <si>
    <t xml:space="preserve">Парам_3</t>
  </si>
  <si>
    <t xml:space="preserve">Парам_4</t>
  </si>
  <si>
    <t xml:space="preserve">Парам_5</t>
  </si>
  <si>
    <t xml:space="preserve">Парам_6</t>
  </si>
  <si>
    <t xml:space="preserve">характеристика1 (Вт)</t>
  </si>
  <si>
    <t xml:space="preserve">характеристика2</t>
  </si>
  <si>
    <t xml:space="preserve">доп.фото</t>
  </si>
  <si>
    <t xml:space="preserve">характеристика3</t>
  </si>
  <si>
    <t xml:space="preserve">Блендер BECKERS</t>
  </si>
  <si>
    <t xml:space="preserve">490*490*350 мм, 220В, 1.95 кВт, 9 кг, температура max +160°C</t>
  </si>
  <si>
    <t xml:space="preserve">N-RIS8</t>
  </si>
  <si>
    <t xml:space="preserve">Beckers</t>
  </si>
  <si>
    <t xml:space="preserve">БАРНОЕ ОБОРУДОВАНИЕ/БЛЕНДЕРЫ БАРНЫЕ</t>
  </si>
  <si>
    <t xml:space="preserve">Япония</t>
  </si>
  <si>
    <t xml:space="preserve">EUR</t>
  </si>
  <si>
    <t xml:space="preserve">https://filestorage.com/123/document.pdf https://filestorage.com/123/instruction.doc https://file3.jpeg https://file4.gif</t>
  </si>
  <si>
    <t xml:space="preserve">https://imgur.com/123/картинка2.png https://imgur.com/123/картинка3.png https://picture3.jpeg https://picture4.gif</t>
  </si>
  <si>
    <t xml:space="preserve">123 мм.</t>
  </si>
  <si>
    <t xml:space="preserve">https://imgur.com/123/instruction.jpg https://imgur.com/123/картинка3.png</t>
  </si>
  <si>
    <t xml:space="preserve">https://imgur.com/123/картинка2.png https://filestorage.com/123/instruction.doc</t>
  </si>
  <si>
    <t xml:space="preserve">ТЕРМОСТАТ ПОГРУЖНОЙ TATRA</t>
  </si>
  <si>
    <t xml:space="preserve">Погружной термостат TSV2 предназначен для приготовления широкого спектра блюд по технологии Sous Vide.</t>
  </si>
  <si>
    <t xml:space="preserve">N-TSV2</t>
  </si>
  <si>
    <t xml:space="preserve">Dump</t>
  </si>
  <si>
    <t xml:space="preserve">Румыния</t>
  </si>
  <si>
    <t xml:space="preserve">RUB</t>
  </si>
  <si>
    <t xml:space="preserve">СТОЛ С ОХЛАЖД.ШКАФОМ HICOLD</t>
  </si>
  <si>
    <t xml:space="preserve">Регулируемые по высоте ножки, автоматические доводчики дверей с фиксатором открытого положения, легкозаменяемые магнитные уплотнители</t>
  </si>
  <si>
    <t xml:space="preserve">N-GN111/TN</t>
  </si>
  <si>
    <t xml:space="preserve">https://file1.jpg https://file2.png https://file3.jpeg https://file4.gif</t>
  </si>
  <si>
    <t xml:space="preserve">https://picture1.jpg https://picture2.png https://picture3.jpeg https://picture4.gif</t>
  </si>
  <si>
    <t xml:space="preserve">БЛЕНДЕР BORK</t>
  </si>
  <si>
    <t xml:space="preserve">180х220х440 мм, 220 В, 1,3 кВт, блендер, 5 скоростей - до 12000 об./мин., создавайте насыщенный густой смузи с функцией Smoothie, а в режиме Ice Crush - идеальную ледяную крошку.</t>
  </si>
  <si>
    <t xml:space="preserve">N-B705</t>
  </si>
  <si>
    <t xml:space="preserve">БЛЕНДЕР HURAKAN</t>
  </si>
  <si>
    <t xml:space="preserve">205x230x510, 220 В, 1,2 кВт, 3.5кг, 23000-26000 об/мин, режим пульсации, объём стакана 2 л, материал стакана пластик, материал корпуса пластик</t>
  </si>
  <si>
    <t xml:space="preserve">N-HKN-BLW2</t>
  </si>
  <si>
    <t xml:space="preserve">USD</t>
  </si>
  <si>
    <t xml:space="preserve">ШКАФ РАССТОЕЧНЫЙ SOTTORIVA MODUL 3 CEL 3-12</t>
  </si>
  <si>
    <t xml:space="preserve">1780x1035x845 мм, 180 кг, 1кВт, 380В, на колесиках, для печей MODUL 3 с 1-2 камерами (уровнями). Регулировка температуры и вентиляции</t>
  </si>
  <si>
    <t xml:space="preserve">Sottoriva</t>
  </si>
  <si>
    <t xml:space="preserve">ХОЛОДИЛЬНОЕ ОБОРУДОВАНИЕ/ШКАФЫ ВИННЫЕ</t>
  </si>
  <si>
    <t xml:space="preserve">Казахстан</t>
  </si>
  <si>
    <t xml:space="preserve">Коробка-стелаж винная</t>
  </si>
  <si>
    <t xml:space="preserve">Крутая тестовая коробка</t>
  </si>
  <si>
    <t xml:space="preserve">Box</t>
  </si>
  <si>
    <t xml:space="preserve">РИСОВАРКА HURAKAN</t>
  </si>
  <si>
    <t xml:space="preserve">Рисоварка Hurakan – отличное решение для приготовления риса в суши-барах, в ресторанах японской и китайской кухни, столовых и везде, где требуется готовить большое количество риса.</t>
  </si>
  <si>
    <t xml:space="preserve">HKN-SR56M</t>
  </si>
  <si>
    <t xml:space="preserve">HURAKAN </t>
  </si>
  <si>
    <t xml:space="preserve">Китай</t>
  </si>
  <si>
    <t xml:space="preserve">ГРИЛЬ КОНТАКТНЫЙ HURAKAN</t>
  </si>
  <si>
    <t xml:space="preserve">Контактные грили Hurakan – универсальное оборудование для профессиональной кухни.</t>
  </si>
  <si>
    <t xml:space="preserve">HKN-PE34R</t>
  </si>
  <si>
    <t xml:space="preserve">Алжир</t>
  </si>
  <si>
    <t xml:space="preserve">ГРИЛЬ КОНТАКТНЫЙ TATRA</t>
  </si>
  <si>
    <t xml:space="preserve">Контактный гриль TATRA TCG 3627 RR предназначен для использования на предприятиях общественного питания и торговли для разогрева блюд из мяса, птицы и овощей, а также приготовления горячих бутербродов и сэндвичей.</t>
  </si>
  <si>
    <t xml:space="preserve">TCG 3627 RR</t>
  </si>
  <si>
    <t xml:space="preserve">TATRA </t>
  </si>
  <si>
    <t xml:space="preserve">ПОСУДА И ИНВЕНТАРЬ/ФАРФОР, КЕРАМИКА/04.01.06. PORDAMSA/04.01.06.20. CASUAL</t>
  </si>
  <si>
    <t xml:space="preserve">Аландские острова</t>
  </si>
  <si>
    <t xml:space="preserve">БАРНОЕ ОБОРУДОВАНИЕ/АКСЕССУАРЫ ДЛЯ БАРНОГО ОБОРУДОВАНИЯ/ДИСПЕНСЕРЫ</t>
  </si>
  <si>
    <t xml:space="preserve">HKN-PE34Rк</t>
  </si>
  <si>
    <t xml:space="preserve">РИСОВАРКА BECKERS</t>
  </si>
  <si>
    <t xml:space="preserve">RIS8</t>
  </si>
  <si>
    <t xml:space="preserve">HKN-PE34R4</t>
  </si>
  <si>
    <t xml:space="preserve">ОБОРУДОВАНИЕ ДЛЯ FAST FOOD/ГРИЛИ КОНТАКТНЫЕ</t>
  </si>
  <si>
    <t xml:space="preserve">Сербия</t>
  </si>
  <si>
    <t xml:space="preserve">TSV2</t>
  </si>
  <si>
    <t xml:space="preserve">Американское Самоа</t>
  </si>
  <si>
    <t xml:space="preserve">GN111/TN</t>
  </si>
  <si>
    <t xml:space="preserve">Hicold</t>
  </si>
  <si>
    <t xml:space="preserve">Теркс и Кайкос</t>
  </si>
  <si>
    <t xml:space="preserve">B705</t>
  </si>
  <si>
    <t xml:space="preserve">Bork</t>
  </si>
  <si>
    <t xml:space="preserve">HKN-BLW2</t>
  </si>
  <si>
    <t xml:space="preserve">Австрия</t>
  </si>
  <si>
    <t xml:space="preserve">ЛЬДОГЕНЕРАТОР APACH КУБИК</t>
  </si>
  <si>
    <t xml:space="preserve">497x592x887/(1037 с ножками)мм, 220В, 0,50кВт, кубик M: 35х31х31мм, 17гр, 53кг/сут, бункер 25кг, водн. охл., R452a</t>
  </si>
  <si>
    <t xml:space="preserve">ACB5325B W</t>
  </si>
  <si>
    <t xml:space="preserve">Apach Cook Line</t>
  </si>
  <si>
    <t xml:space="preserve">Новая Каледония</t>
  </si>
  <si>
    <t xml:space="preserve">ЛЬДОГЕНЕРАТОР BAR LINE</t>
  </si>
  <si>
    <t xml:space="preserve">535х600х910(1033)мм, 0,69кВт, 220В, кубик, 75кг/сут, бункер 40кг, возд.охл., R134A</t>
  </si>
  <si>
    <t xml:space="preserve">B 7540 AS</t>
  </si>
  <si>
    <t xml:space="preserve">Scotsman</t>
  </si>
  <si>
    <t xml:space="preserve">Италия</t>
  </si>
  <si>
    <t xml:space="preserve">ШКАФ ХОЛОД.СО СТЕКЛОМ POLAIR</t>
  </si>
  <si>
    <t xml:space="preserve">697х710х1960мм, ПРОПАН R290, Диапазон рабочих температур, °C +1…+10, Объем 500л, Размер полки 595х455мм, Кол-во полок 4, 230В, 4 кВт/час за сутки</t>
  </si>
  <si>
    <t xml:space="preserve">DM105-S 1103408D</t>
  </si>
  <si>
    <t xml:space="preserve">POLAIR </t>
  </si>
  <si>
    <t xml:space="preserve">Россия</t>
  </si>
  <si>
    <t xml:space="preserve">ПЕЧЬ КОМБИНИРОВАННАЯ LAINOX ORACLE</t>
  </si>
  <si>
    <t xml:space="preserve">467х609х630мм, 6кВт, 380В, разогрев до +300°C, размер рабочей камеры 310x320x180мм, объем камеры 17,9л, экран 7"LCD цветной, внутренняя камера с возможностью извлечения из печи для удобного обслуживания и мойки, гладкая плита, подключение к сети Wi-FI, подключение USB, кабель.</t>
  </si>
  <si>
    <t xml:space="preserve">ORACGB </t>
  </si>
  <si>
    <t xml:space="preserve">Lainox</t>
  </si>
  <si>
    <t xml:space="preserve">Франция</t>
  </si>
  <si>
    <t xml:space="preserve">ПЕЧЬ Д/ЗАПЕКАНИЯ КАРТОФЕЛЯ GRILL MASTER</t>
  </si>
  <si>
    <t xml:space="preserve">480х560х1000 мм, печь для запекания картофеля, 3 ТЭНа, 3 лотка, загрузка 30 кг тепловая витрина</t>
  </si>
  <si>
    <t xml:space="preserve">Ф3ШЖЭ 21501к</t>
  </si>
  <si>
    <t xml:space="preserve">GRILL MASTER</t>
  </si>
  <si>
    <t xml:space="preserve">СТОЛ ХОЛОДИЛЬНЫЙ KAYMAN</t>
  </si>
  <si>
    <t xml:space="preserve">1775х700х850 мм; 700мм;-2...+6 C°; 3 двери; боковой агрегат;динамическое охлаждение; размер дверного проема 340х540;полки в комплекте, возможность установки гастроемкостей; компрессор Embraco;220 В; 4,7 кВт</t>
  </si>
  <si>
    <t xml:space="preserve">KСХ-111/70</t>
  </si>
  <si>
    <t xml:space="preserve">Kayman</t>
  </si>
  <si>
    <t xml:space="preserve">СТОЛ ХОЛОДИЛЬНЫЙ COLDLINE</t>
  </si>
  <si>
    <t xml:space="preserve">820х700х950 мм, 105 кг, 0,25 кВт, 220 В, от -2 до +8С, энергетический класс А, нерж сталь AISI 304, толщина изоляции 60 мм, со столешницей и бортиком, 1 дверь, R290, с агрегатом,</t>
  </si>
  <si>
    <t xml:space="preserve">TA09/1M-710</t>
  </si>
  <si>
    <t xml:space="preserve">COLDLINE</t>
  </si>
  <si>
    <t xml:space="preserve">ТЕПЛОВОЕ ОБОРУДОВАНИЕ/КОТЛЫ ПИЩЕВАРОЧНЫЕ ДЛЯ ТЕПЛОВЫХ ЛИНИЙ</t>
  </si>
  <si>
    <t xml:space="preserve">ПАРОКОНВЕКТОМАТ</t>
  </si>
  <si>
    <t xml:space="preserve">800х840х1055мм, Пароконвектомат ПКА 10-1/1ПМ2 (парогенератор, 10хGN-1/1, память на 110 программ приготовления, вся нерж, без г/емкостей, 3х-канальный щуп, регулировка влажности, вентилятор: реверс + 5 скоростей)</t>
  </si>
  <si>
    <t xml:space="preserve">ПКА10-1/1ПМ2 110000019449</t>
  </si>
  <si>
    <t xml:space="preserve">Чувашторгтехника</t>
  </si>
  <si>
    <t xml:space="preserve">ПЛИТА 4 КОНФОРОЧН.900СЕР</t>
  </si>
  <si>
    <t xml:space="preserve">1050x895x860мм, Плита электрическая ЭП-4ЖШ, 4 конфорки, КЭТ-0,12, стандартная духовка, лицев. нерж.</t>
  </si>
  <si>
    <t xml:space="preserve">ЭП-4ЖШ</t>
  </si>
  <si>
    <t xml:space="preserve">БЛЕНДЕР HAMILTON BEACH</t>
  </si>
  <si>
    <t xml:space="preserve">190х216х410 мм, 1,194 кВт, 220 В, стакан из поликарбоната 1,4 л, 2 скорости с пульсацией, время приготовления коктейл 20 секунд, подходит для работы с крупным льдом, металлическое сцепление контейнера с приводом, двигатель 1,6 л.с.</t>
  </si>
  <si>
    <t xml:space="preserve">HBB255-CE</t>
  </si>
  <si>
    <t xml:space="preserve">Hamilton Beach</t>
  </si>
  <si>
    <t xml:space="preserve">ЛЬДОГЕНЕРАТОР HURAKAN</t>
  </si>
  <si>
    <t xml:space="preserve">400х310х420, 220 В, 0,15 кВт, 12.5 кг, произв.15-18 кг/сутки, бункер 2,4 кг, пластмасса, цвет сереб., воздушное охл, автономный, пальч</t>
  </si>
  <si>
    <t xml:space="preserve">HKN-IMF17</t>
  </si>
  <si>
    <t xml:space="preserve">Hurakan</t>
  </si>
  <si>
    <t xml:space="preserve">THKN-SR56M</t>
  </si>
  <si>
    <t xml:space="preserve">TRIS8</t>
  </si>
  <si>
    <t xml:space="preserve">THKN-PE34R</t>
  </si>
  <si>
    <t xml:space="preserve">HKN-PE34RKOT</t>
  </si>
  <si>
    <t xml:space="preserve">KOTYASHKA</t>
  </si>
  <si>
    <t xml:space="preserve">pushistyi kot</t>
  </si>
  <si>
    <t xml:space="preserve">KOTIK</t>
  </si>
  <si>
    <t xml:space="preserve">KOTEYKA</t>
  </si>
  <si>
    <t xml:space="preserve">БАРНОЕ ОБОРУДОВАНИЕ/ИЗМЕЛЬЧИТЕЛИ ЛЬДА</t>
  </si>
  <si>
    <t xml:space="preserve">Сент-Люсия</t>
  </si>
  <si>
    <t xml:space="preserve">CNY</t>
  </si>
  <si>
    <t xml:space="preserve">KOTYASHKA2</t>
  </si>
  <si>
    <t xml:space="preserve">pushistyi kot 2</t>
  </si>
  <si>
    <t xml:space="preserve">KOTIK2</t>
  </si>
  <si>
    <t xml:space="preserve">Острова Питкэрн</t>
  </si>
  <si>
    <t xml:space="preserve">ACB5325B W333</t>
  </si>
  <si>
    <t xml:space="preserve">ОБОРУДОВАНИЕ ДЛЯ FAST FOOD/БЛИННИЦЫ</t>
  </si>
  <si>
    <t xml:space="preserve">ACB5325B W444</t>
  </si>
  <si>
    <t xml:space="preserve">ЛИСТ ДЛЯ ПЕК.ШКАФА SOTTORIVA 600X400 СТАНДАРТ</t>
  </si>
  <si>
    <t xml:space="preserve">Плоские перфорированные алюминиевые противни с бортом 2 см. стандарт</t>
  </si>
  <si>
    <t xml:space="preserve">БАРНОЕ ОБОРУДОВАНИЕ/АППАРАТЫ ДЛЯ ОХЛАЖДЕНИЯ БОКАЛОВ</t>
  </si>
  <si>
    <t xml:space="preserve">ТЕСТОДЕЛИТЕЛЬ SOTTORIVA АВТОМАТИЧЕСКИЙ ZERO 6/123</t>
  </si>
  <si>
    <t xml:space="preserve">1360x1760x1750мм, 2-3 ряда (уточнить при заказе) 100-600 гр./40-150 гр., 1500-3000 шт/час/2250-4500 шт/час, вакуумно-поршневой</t>
  </si>
  <si>
    <t xml:space="preserve">Плоские перфорированные алюминиевые противни с бортом 2 см, стандарт</t>
  </si>
  <si>
    <t xml:space="preserve">ШКАФ ВИННЫЙ ВЕНТ.МЕТАЛ. SOMMELIER 302 ЧЕРНЫЙ</t>
  </si>
  <si>
    <t xml:space="preserve">595x580x1590мм, 017кВт, 220В, темп. +5/+12; +12/+22, 6 полок (503x437мм), 76 кг,  хладагент R600a, 270л</t>
  </si>
  <si>
    <t xml:space="preserve">Tecfrigo</t>
  </si>
  <si>
    <t xml:space="preserve">ПРИЛАВОК ХОЛОД.КОНДИТ. TECFRIGO BRIO 97 Q</t>
  </si>
  <si>
    <t xml:space="preserve">947x720x1342мм, 0,3кВт, 220B, +3/+10, 160кг, 300л, 3 стекл. полки: 1x 280x870мм + 2 х 396x870мм, вентилируемый, с встр.агр.  R290</t>
  </si>
  <si>
    <t xml:space="preserve">КОФЕМАШИНА ANIMO OPTIBEAN 3 TOUCH ЧЕРНЫЙ</t>
  </si>
  <si>
    <t xml:space="preserve">409x565x792 мм, кофе на базе эспрессо, 220В, 2,3 кВт, цвет черный, кофемолка на 1,5 кг, два контейнера для сыпучих продуктов по 1,6 л, сенсорный экран 7 дюймов, производительность 120 чашек по 120 мл в час; макс. высота краника: 167 мм</t>
  </si>
  <si>
    <t xml:space="preserve">Animo</t>
  </si>
  <si>
    <t xml:space="preserve">ЭЛЕКТРОКИПЯТИЛЬНИК ANIMO WKI 20N 3KW НАСТЕННЫЙ MARINE 380 V БЕЗ НЕЙТРАЛИ</t>
  </si>
  <si>
    <t xml:space="preserve">304x304x585 мм, 2~380V/3kW/50-60Гц, морская версия, НАСТЕННЫЙ, подключение к водопроводу и стеклянным окном уровня воды, вкл./выкл. функции долива, одностенный из нержавеющей стали CrNi 18-9, ёмкость 20 л, время розлива 1л  6-9 с, производительность в час: 30 литров; время нагрева за 45 мин. с 20 до 97 °C, регулируемая температура от 0 до +97°C</t>
  </si>
  <si>
    <t xml:space="preserve">Австралия</t>
  </si>
  <si>
    <t xml:space="preserve">ТЕРМОС ANIMO 2.1Л 10420</t>
  </si>
  <si>
    <t xml:space="preserve">для кофеварок MT100, MT200, MT100v, MT200Wp и MT200v, с помпой, с внутренним покрытием из стекла. Объем 2,1 литра. Доступен также в черном цвете</t>
  </si>
  <si>
    <t xml:space="preserve">МИКСЕР ПЛАНЕТАРНЫЙ VARIMIXER KODIAK 20L CR20/VL1C НАПОЛЬНЫЙ/ФЛОТ</t>
  </si>
  <si>
    <t xml:space="preserve">624х792х1367мм, 440В/60Гц, без нейтрали, 0,7кВт, 20л, 64-353об/мин, 154кг, в комплекте: тележка, дежа, лопатка, крюк, венчик из нерж. стали</t>
  </si>
  <si>
    <t xml:space="preserve">Varimixer</t>
  </si>
  <si>
    <t xml:space="preserve">ДИСК Д/МЯСОРУБКИ VARIMIXER 6R359 8MM</t>
  </si>
  <si>
    <t xml:space="preserve">для мясорубки 6RZ, 8мм стандартный</t>
  </si>
  <si>
    <t xml:space="preserve">СТЕНД ДЛЯ СЛАЙСЕРА BECKERS SAF 325/300 PIE03176 КРАСНЫЙ</t>
  </si>
  <si>
    <t xml:space="preserve">500x520x790мм, 72 кг. Стенд-подставка для слайсеров Beckers Volano, модели SAF350, цвет - красный. Размер площадки для слайсера 700x450 мм. Материал - чугун. Ребра в виде дуг для удержания ножек слайсера.</t>
  </si>
  <si>
    <t xml:space="preserve">ФРИТЮРНИЦА BECKERS FB 4+4</t>
  </si>
  <si>
    <t xml:space="preserve">390x430x275 мм; 2х2 кВт, 220В, 2 сетки 210Х120Х100 мм</t>
  </si>
  <si>
    <t xml:space="preserve">РИСОВАРКА BECKERS RIS8</t>
  </si>
  <si>
    <t xml:space="preserve">490*490*350 мм, 220В, 1.95 кВт, 9 кг,  температура max +160°C</t>
  </si>
  <si>
    <t xml:space="preserve">Electrolux</t>
  </si>
  <si>
    <t xml:space="preserve">Абхазия</t>
  </si>
  <si>
    <t xml:space="preserve">тестовый тест</t>
  </si>
  <si>
    <t xml:space="preserve">TTCG 3627 RR</t>
  </si>
  <si>
    <t xml:space="preserve">Турция</t>
  </si>
  <si>
    <t xml:space="preserve">HKN-P34sE34R4</t>
  </si>
  <si>
    <t xml:space="preserve">HKN-PE34R!</t>
  </si>
  <si>
    <t xml:space="preserve">N-ACB5325B W</t>
  </si>
  <si>
    <t xml:space="preserve">ЭЛЕКТРОМЕХАНИЧЕСКОЕ ОБОРУДОВАНИЕ/ФАРШЕМЕШАЛКИ</t>
  </si>
  <si>
    <t xml:space="preserve">HKN-PE34RSOS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</si>
</sst>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ile4.gif/" TargetMode="External"/><Relationship Id="rId2" Type="http://schemas.openxmlformats.org/officeDocument/2006/relationships/hyperlink" Target="https://picture4.gif/" TargetMode="External"/><Relationship Id="rId3" Type="http://schemas.openxmlformats.org/officeDocument/2006/relationships/hyperlink" Target="https://imgur.com/123/&#1082;&#1072;&#1088;&#1090;&#1080;&#1085;&#1082;&#1072;3.png" TargetMode="External"/><Relationship Id="rId4" Type="http://schemas.openxmlformats.org/officeDocument/2006/relationships/hyperlink" Target="https://filestorage.com/123/instruction.doc" TargetMode="External"/><Relationship Id="rId5" Type="http://schemas.openxmlformats.org/officeDocument/2006/relationships/hyperlink" Target="https://file4/" TargetMode="External"/><Relationship Id="rId6" Type="http://schemas.openxmlformats.org/officeDocument/2006/relationships/hyperlink" Target="https://picture4.gif/" TargetMode="External"/><Relationship Id="rId7" Type="http://schemas.openxmlformats.org/officeDocument/2006/relationships/hyperlink" Target="https://file4.gif/" TargetMode="External"/><Relationship Id="rId8" Type="http://schemas.openxmlformats.org/officeDocument/2006/relationships/hyperlink" Target="https://picture4.gif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1.66015625" defaultRowHeight="12.8" zeroHeight="false" outlineLevelRow="0" outlineLevelCol="0"/>
  <cols>
    <col collapsed="false" customWidth="true" hidden="false" outlineLevel="0" max="5" min="5" style="0" width="80.86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customFormat="false" ht="12.8" hidden="false" customHeight="false" outlineLevel="0" collapsed="false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1" t="n">
        <v>490</v>
      </c>
      <c r="H2" s="1" t="n">
        <v>490</v>
      </c>
      <c r="I2" s="1" t="n">
        <v>340</v>
      </c>
      <c r="J2" s="1" t="n">
        <v>1.99</v>
      </c>
      <c r="K2" s="1" t="n">
        <v>220</v>
      </c>
      <c r="L2" s="1" t="n">
        <v>198.86</v>
      </c>
      <c r="M2" s="3" t="n">
        <f aca="false">L2-(L2*0.1)</f>
        <v>178.974</v>
      </c>
      <c r="N2" s="1" t="s">
        <v>34</v>
      </c>
      <c r="Q2" s="4" t="s">
        <v>35</v>
      </c>
      <c r="R2" s="4" t="s">
        <v>36</v>
      </c>
      <c r="S2" s="0" t="n">
        <v>111</v>
      </c>
      <c r="V2" s="0" t="n">
        <v>111</v>
      </c>
      <c r="Y2" s="0" t="n">
        <v>123</v>
      </c>
      <c r="Z2" s="2" t="s">
        <v>37</v>
      </c>
      <c r="AA2" s="4" t="s">
        <v>38</v>
      </c>
      <c r="AB2" s="4" t="s">
        <v>39</v>
      </c>
    </row>
    <row r="3" customFormat="false" ht="12.8" hidden="false" customHeight="false" outlineLevel="0" collapsed="false">
      <c r="A3" s="1" t="s">
        <v>40</v>
      </c>
      <c r="B3" s="1" t="s">
        <v>41</v>
      </c>
      <c r="C3" s="1" t="s">
        <v>42</v>
      </c>
      <c r="D3" s="1" t="s">
        <v>43</v>
      </c>
      <c r="E3" s="1" t="s">
        <v>32</v>
      </c>
      <c r="F3" s="1" t="s">
        <v>44</v>
      </c>
      <c r="G3" s="1" t="n">
        <v>120</v>
      </c>
      <c r="H3" s="1" t="n">
        <v>145</v>
      </c>
      <c r="I3" s="1" t="n">
        <v>340</v>
      </c>
      <c r="J3" s="1" t="n">
        <v>2</v>
      </c>
      <c r="K3" s="1" t="n">
        <v>230</v>
      </c>
      <c r="L3" s="1" t="n">
        <v>35004.24</v>
      </c>
      <c r="M3" s="3" t="n">
        <f aca="false">L3-(L3*0.1)</f>
        <v>31503.816</v>
      </c>
      <c r="N3" s="1" t="s">
        <v>45</v>
      </c>
      <c r="O3" s="1" t="n">
        <v>6</v>
      </c>
      <c r="T3" s="0" t="n">
        <v>222</v>
      </c>
      <c r="U3" s="0" t="n">
        <v>222</v>
      </c>
      <c r="W3" s="0" t="n">
        <v>222</v>
      </c>
    </row>
    <row r="4" customFormat="false" ht="12.8" hidden="false" customHeight="false" outlineLevel="0" collapsed="false">
      <c r="A4" s="1" t="s">
        <v>46</v>
      </c>
      <c r="B4" s="1" t="s">
        <v>47</v>
      </c>
      <c r="C4" s="1" t="s">
        <v>48</v>
      </c>
      <c r="D4" s="1" t="s">
        <v>43</v>
      </c>
      <c r="E4" s="1" t="s">
        <v>32</v>
      </c>
      <c r="F4" s="1" t="s">
        <v>44</v>
      </c>
      <c r="G4" s="1" t="n">
        <v>1835</v>
      </c>
      <c r="H4" s="1" t="n">
        <v>700</v>
      </c>
      <c r="I4" s="1" t="n">
        <v>850</v>
      </c>
      <c r="J4" s="1" t="n">
        <v>0.46</v>
      </c>
      <c r="K4" s="1" t="n">
        <v>220</v>
      </c>
      <c r="L4" s="1" t="n">
        <v>89607.03</v>
      </c>
      <c r="M4" s="3" t="n">
        <f aca="false">L4-(L4*0.1)</f>
        <v>80646.327</v>
      </c>
      <c r="N4" s="1" t="s">
        <v>45</v>
      </c>
      <c r="O4" s="1" t="n">
        <v>45</v>
      </c>
      <c r="P4" s="1" t="n">
        <v>135</v>
      </c>
      <c r="Q4" s="4" t="s">
        <v>49</v>
      </c>
      <c r="R4" s="4" t="s">
        <v>50</v>
      </c>
      <c r="T4" s="0" t="n">
        <v>333</v>
      </c>
      <c r="U4" s="0" t="n">
        <v>333</v>
      </c>
    </row>
    <row r="5" customFormat="false" ht="12.8" hidden="false" customHeight="false" outlineLevel="0" collapsed="false">
      <c r="A5" s="1" t="s">
        <v>51</v>
      </c>
      <c r="B5" s="1" t="s">
        <v>52</v>
      </c>
      <c r="C5" s="1" t="s">
        <v>53</v>
      </c>
      <c r="D5" s="1" t="s">
        <v>43</v>
      </c>
      <c r="E5" s="1" t="s">
        <v>32</v>
      </c>
      <c r="F5" s="1" t="s">
        <v>44</v>
      </c>
      <c r="G5" s="1" t="n">
        <v>180</v>
      </c>
      <c r="H5" s="1" t="n">
        <v>220</v>
      </c>
      <c r="I5" s="1" t="n">
        <v>440</v>
      </c>
      <c r="J5" s="1" t="n">
        <v>1.3</v>
      </c>
      <c r="K5" s="1" t="n">
        <v>220</v>
      </c>
      <c r="L5" s="1" t="n">
        <v>28498.02</v>
      </c>
      <c r="M5" s="3" t="n">
        <f aca="false">L5-(L5*0.1)</f>
        <v>25648.218</v>
      </c>
      <c r="N5" s="1" t="s">
        <v>45</v>
      </c>
      <c r="O5" s="1" t="n">
        <v>2</v>
      </c>
      <c r="U5" s="0" t="n">
        <v>444</v>
      </c>
      <c r="V5" s="0" t="n">
        <v>444</v>
      </c>
    </row>
    <row r="6" customFormat="false" ht="12.8" hidden="false" customHeight="false" outlineLevel="0" collapsed="false">
      <c r="A6" s="1" t="s">
        <v>54</v>
      </c>
      <c r="B6" s="1" t="s">
        <v>55</v>
      </c>
      <c r="C6" s="1" t="s">
        <v>56</v>
      </c>
      <c r="D6" s="1" t="s">
        <v>43</v>
      </c>
      <c r="E6" s="1" t="s">
        <v>32</v>
      </c>
      <c r="F6" s="1" t="s">
        <v>44</v>
      </c>
      <c r="G6" s="1" t="n">
        <v>205</v>
      </c>
      <c r="H6" s="1" t="n">
        <v>230</v>
      </c>
      <c r="I6" s="1" t="n">
        <v>510</v>
      </c>
      <c r="J6" s="1" t="n">
        <v>1.2</v>
      </c>
      <c r="K6" s="1" t="n">
        <v>220</v>
      </c>
      <c r="L6" s="1" t="n">
        <v>57.84</v>
      </c>
      <c r="M6" s="3" t="n">
        <f aca="false">L6-(L6*0.1)</f>
        <v>52.056</v>
      </c>
      <c r="N6" s="1" t="s">
        <v>57</v>
      </c>
      <c r="O6" s="1" t="n">
        <v>600</v>
      </c>
      <c r="Q6" s="4" t="s">
        <v>49</v>
      </c>
      <c r="R6" s="4" t="s">
        <v>50</v>
      </c>
      <c r="S6" s="0" t="n">
        <v>555</v>
      </c>
      <c r="W6" s="0" t="n">
        <v>555</v>
      </c>
    </row>
    <row r="7" customFormat="false" ht="12.8" hidden="false" customHeight="false" outlineLevel="0" collapsed="false">
      <c r="A7" s="1" t="s">
        <v>58</v>
      </c>
      <c r="B7" s="1" t="s">
        <v>59</v>
      </c>
      <c r="C7" s="1" t="n">
        <v>1</v>
      </c>
      <c r="D7" s="1" t="s">
        <v>60</v>
      </c>
      <c r="E7" s="1" t="s">
        <v>61</v>
      </c>
      <c r="F7" s="1" t="s">
        <v>62</v>
      </c>
      <c r="G7" s="1" t="n">
        <v>1780</v>
      </c>
      <c r="H7" s="1" t="n">
        <v>1035</v>
      </c>
      <c r="I7" s="1" t="n">
        <v>845</v>
      </c>
      <c r="J7" s="1" t="n">
        <v>1</v>
      </c>
      <c r="K7" s="1" t="n">
        <v>380</v>
      </c>
      <c r="L7" s="1" t="n">
        <v>4748.76</v>
      </c>
      <c r="M7" s="3" t="n">
        <f aca="false">L7-(L7*0.1)</f>
        <v>4273.884</v>
      </c>
      <c r="N7" s="1" t="s">
        <v>34</v>
      </c>
      <c r="O7" s="1" t="n">
        <v>10</v>
      </c>
      <c r="P7" s="1" t="n">
        <v>2</v>
      </c>
      <c r="Q7" s="1"/>
      <c r="R7" s="1"/>
    </row>
    <row r="8" customFormat="false" ht="12.8" hidden="false" customHeight="false" outlineLevel="0" collapsed="false">
      <c r="A8" s="1" t="s">
        <v>63</v>
      </c>
      <c r="B8" s="1" t="s">
        <v>64</v>
      </c>
      <c r="C8" s="1" t="n">
        <v>14</v>
      </c>
      <c r="D8" s="1" t="s">
        <v>65</v>
      </c>
      <c r="E8" s="1" t="s">
        <v>32</v>
      </c>
      <c r="F8" s="1" t="s">
        <v>62</v>
      </c>
      <c r="G8" s="1" t="n">
        <v>1000</v>
      </c>
      <c r="H8" s="1" t="n">
        <v>1000</v>
      </c>
      <c r="I8" s="1" t="n">
        <v>1000</v>
      </c>
      <c r="J8" s="1" t="n">
        <v>2</v>
      </c>
      <c r="K8" s="1" t="n">
        <v>2</v>
      </c>
      <c r="L8" s="1" t="n">
        <v>1000</v>
      </c>
      <c r="M8" s="3" t="n">
        <f aca="false">L8-(L8*0.1)</f>
        <v>900</v>
      </c>
      <c r="N8" s="1" t="s">
        <v>45</v>
      </c>
      <c r="P8" s="1" t="n">
        <v>10</v>
      </c>
      <c r="Q8" s="1"/>
      <c r="R8" s="1"/>
    </row>
    <row r="9" customFormat="false" ht="12.8" hidden="false" customHeight="false" outlineLevel="0" collapsed="false">
      <c r="A9" s="1" t="s">
        <v>66</v>
      </c>
      <c r="B9" s="1" t="s">
        <v>67</v>
      </c>
      <c r="C9" s="1" t="s">
        <v>68</v>
      </c>
      <c r="D9" s="1" t="s">
        <v>69</v>
      </c>
      <c r="E9" s="1" t="s">
        <v>61</v>
      </c>
      <c r="F9" s="1" t="s">
        <v>70</v>
      </c>
      <c r="G9" s="1" t="n">
        <v>460</v>
      </c>
      <c r="H9" s="1" t="n">
        <v>460</v>
      </c>
      <c r="I9" s="1" t="n">
        <v>375</v>
      </c>
      <c r="J9" s="1" t="n">
        <v>4</v>
      </c>
      <c r="K9" s="1" t="n">
        <v>220</v>
      </c>
      <c r="L9" s="1" t="n">
        <v>7994.27</v>
      </c>
      <c r="M9" s="3" t="n">
        <f aca="false">L9-(L9*0.1)</f>
        <v>7194.843</v>
      </c>
      <c r="N9" s="1" t="s">
        <v>45</v>
      </c>
      <c r="O9" s="1" t="n">
        <v>690</v>
      </c>
      <c r="P9" s="1" t="n">
        <v>300</v>
      </c>
      <c r="Q9" s="1"/>
      <c r="R9" s="1"/>
    </row>
    <row r="10" customFormat="false" ht="12.8" hidden="false" customHeight="false" outlineLevel="0" collapsed="false">
      <c r="A10" s="1" t="s">
        <v>71</v>
      </c>
      <c r="B10" s="1" t="s">
        <v>72</v>
      </c>
      <c r="C10" s="1" t="s">
        <v>73</v>
      </c>
      <c r="D10" s="1" t="s">
        <v>69</v>
      </c>
      <c r="E10" s="1" t="s">
        <v>32</v>
      </c>
      <c r="F10" s="1" t="s">
        <v>74</v>
      </c>
      <c r="G10" s="1" t="n">
        <v>430</v>
      </c>
      <c r="H10" s="1" t="n">
        <v>370</v>
      </c>
      <c r="I10" s="1" t="n">
        <v>210</v>
      </c>
      <c r="J10" s="1" t="n">
        <v>2.2</v>
      </c>
      <c r="K10" s="1" t="n">
        <v>220</v>
      </c>
      <c r="L10" s="1" t="n">
        <v>22142.25</v>
      </c>
      <c r="M10" s="3" t="n">
        <f aca="false">L10-(L10*0.1)</f>
        <v>19928.025</v>
      </c>
      <c r="N10" s="1" t="s">
        <v>45</v>
      </c>
      <c r="O10" s="1" t="n">
        <v>77</v>
      </c>
      <c r="P10" s="1" t="n">
        <v>180</v>
      </c>
      <c r="Q10" s="1"/>
      <c r="R10" s="1"/>
    </row>
    <row r="11" customFormat="false" ht="12.8" hidden="false" customHeight="false" outlineLevel="0" collapsed="false">
      <c r="A11" s="1" t="s">
        <v>75</v>
      </c>
      <c r="B11" s="1" t="s">
        <v>76</v>
      </c>
      <c r="C11" s="1" t="s">
        <v>77</v>
      </c>
      <c r="D11" s="1" t="s">
        <v>78</v>
      </c>
      <c r="E11" s="1" t="s">
        <v>79</v>
      </c>
      <c r="F11" s="1" t="s">
        <v>80</v>
      </c>
      <c r="G11" s="1" t="n">
        <v>410</v>
      </c>
      <c r="H11" s="1" t="n">
        <v>500</v>
      </c>
      <c r="I11" s="1" t="n">
        <v>300</v>
      </c>
      <c r="J11" s="1" t="n">
        <v>45414</v>
      </c>
      <c r="K11" s="1" t="n">
        <v>220</v>
      </c>
      <c r="L11" s="1" t="n">
        <v>26708.04</v>
      </c>
      <c r="M11" s="3" t="n">
        <f aca="false">L11-(L11*0.1)</f>
        <v>24037.236</v>
      </c>
      <c r="N11" s="1" t="s">
        <v>45</v>
      </c>
      <c r="O11" s="1" t="n">
        <v>20</v>
      </c>
      <c r="P11" s="1" t="n">
        <v>210</v>
      </c>
      <c r="Q11" s="1"/>
      <c r="R11" s="1"/>
    </row>
    <row r="12" customFormat="false" ht="12.8" hidden="false" customHeight="false" outlineLevel="0" collapsed="false">
      <c r="A12" s="1" t="s">
        <v>71</v>
      </c>
      <c r="B12" s="1" t="s">
        <v>72</v>
      </c>
      <c r="C12" s="1" t="s">
        <v>73</v>
      </c>
      <c r="D12" s="1" t="s">
        <v>69</v>
      </c>
      <c r="E12" s="1" t="s">
        <v>81</v>
      </c>
      <c r="F12" s="1" t="s">
        <v>74</v>
      </c>
      <c r="G12" s="1" t="n">
        <v>430</v>
      </c>
      <c r="H12" s="1" t="n">
        <v>370</v>
      </c>
      <c r="I12" s="1" t="n">
        <v>210</v>
      </c>
      <c r="J12" s="1" t="n">
        <v>2.2</v>
      </c>
      <c r="K12" s="1" t="n">
        <v>220</v>
      </c>
      <c r="L12" s="1" t="n">
        <v>22142.25</v>
      </c>
      <c r="M12" s="3" t="n">
        <f aca="false">L12-(L12*0.1)</f>
        <v>19928.025</v>
      </c>
      <c r="N12" s="1" t="s">
        <v>45</v>
      </c>
      <c r="O12" s="1" t="n">
        <v>77</v>
      </c>
      <c r="P12" s="1" t="n">
        <v>180</v>
      </c>
      <c r="Q12" s="1"/>
      <c r="R12" s="1"/>
      <c r="X12" s="0" t="n">
        <v>666</v>
      </c>
    </row>
    <row r="13" customFormat="false" ht="12.8" hidden="false" customHeight="false" outlineLevel="0" collapsed="false">
      <c r="A13" s="1" t="s">
        <v>71</v>
      </c>
      <c r="B13" s="1" t="s">
        <v>72</v>
      </c>
      <c r="C13" s="1" t="s">
        <v>82</v>
      </c>
      <c r="D13" s="1" t="s">
        <v>69</v>
      </c>
      <c r="E13" s="1" t="s">
        <v>32</v>
      </c>
      <c r="F13" s="1" t="s">
        <v>44</v>
      </c>
      <c r="G13" s="1" t="n">
        <v>430</v>
      </c>
      <c r="H13" s="1" t="n">
        <v>370</v>
      </c>
      <c r="I13" s="1" t="n">
        <v>210</v>
      </c>
      <c r="J13" s="1" t="n">
        <v>2.2</v>
      </c>
      <c r="K13" s="1" t="n">
        <v>220</v>
      </c>
      <c r="L13" s="1" t="n">
        <v>22142.25</v>
      </c>
      <c r="M13" s="3" t="n">
        <f aca="false">L13-(L13*0.1)</f>
        <v>19928.025</v>
      </c>
      <c r="N13" s="1" t="s">
        <v>45</v>
      </c>
      <c r="O13" s="1" t="n">
        <v>77</v>
      </c>
      <c r="P13" s="1" t="n">
        <v>180</v>
      </c>
      <c r="Q13" s="1"/>
      <c r="R13" s="1"/>
    </row>
    <row r="14" customFormat="false" ht="12.8" hidden="false" customHeight="false" outlineLevel="0" collapsed="false">
      <c r="A14" s="1" t="s">
        <v>83</v>
      </c>
      <c r="B14" s="1" t="s">
        <v>29</v>
      </c>
      <c r="C14" s="1" t="s">
        <v>84</v>
      </c>
      <c r="D14" s="1" t="s">
        <v>31</v>
      </c>
      <c r="E14" s="1" t="s">
        <v>79</v>
      </c>
      <c r="F14" s="1" t="s">
        <v>33</v>
      </c>
      <c r="G14" s="1" t="n">
        <v>490</v>
      </c>
      <c r="H14" s="1" t="n">
        <v>490</v>
      </c>
      <c r="I14" s="1" t="n">
        <v>340</v>
      </c>
      <c r="J14" s="1" t="n">
        <v>1.99</v>
      </c>
      <c r="K14" s="1" t="n">
        <v>220</v>
      </c>
      <c r="L14" s="1" t="n">
        <v>198.86</v>
      </c>
      <c r="M14" s="3" t="n">
        <f aca="false">L14-(L14*0.1)</f>
        <v>178.974</v>
      </c>
      <c r="N14" s="1" t="s">
        <v>34</v>
      </c>
    </row>
    <row r="15" customFormat="false" ht="12.8" hidden="false" customHeight="false" outlineLevel="0" collapsed="false">
      <c r="A15" s="1" t="s">
        <v>71</v>
      </c>
      <c r="B15" s="1" t="s">
        <v>72</v>
      </c>
      <c r="C15" s="1" t="s">
        <v>85</v>
      </c>
      <c r="D15" s="1" t="s">
        <v>69</v>
      </c>
      <c r="E15" s="1" t="s">
        <v>86</v>
      </c>
      <c r="F15" s="1" t="s">
        <v>87</v>
      </c>
      <c r="G15" s="1" t="n">
        <v>430</v>
      </c>
      <c r="H15" s="1" t="n">
        <v>370</v>
      </c>
      <c r="I15" s="1" t="n">
        <v>210</v>
      </c>
      <c r="J15" s="1" t="n">
        <v>2.2</v>
      </c>
      <c r="K15" s="1" t="n">
        <v>220</v>
      </c>
      <c r="L15" s="1" t="n">
        <v>22142.25</v>
      </c>
      <c r="M15" s="3" t="n">
        <f aca="false">L15-(L15*0.1)</f>
        <v>19928.025</v>
      </c>
      <c r="N15" s="1" t="s">
        <v>45</v>
      </c>
      <c r="O15" s="1" t="n">
        <v>77</v>
      </c>
      <c r="P15" s="1" t="n">
        <v>180</v>
      </c>
      <c r="Q15" s="1"/>
      <c r="R15" s="1"/>
    </row>
    <row r="16" customFormat="false" ht="12.8" hidden="false" customHeight="false" outlineLevel="0" collapsed="false">
      <c r="A16" s="1" t="s">
        <v>40</v>
      </c>
      <c r="B16" s="1" t="s">
        <v>41</v>
      </c>
      <c r="C16" s="1" t="s">
        <v>88</v>
      </c>
      <c r="D16" s="1" t="s">
        <v>78</v>
      </c>
      <c r="E16" s="1" t="s">
        <v>32</v>
      </c>
      <c r="F16" s="1" t="s">
        <v>89</v>
      </c>
      <c r="G16" s="1" t="n">
        <v>120</v>
      </c>
      <c r="H16" s="1" t="n">
        <v>145</v>
      </c>
      <c r="I16" s="1" t="n">
        <v>340</v>
      </c>
      <c r="J16" s="1" t="n">
        <v>2</v>
      </c>
      <c r="K16" s="1" t="n">
        <v>230</v>
      </c>
      <c r="L16" s="1" t="n">
        <v>35004.24</v>
      </c>
      <c r="M16" s="3" t="n">
        <f aca="false">L16-(L16*0.1)</f>
        <v>31503.816</v>
      </c>
      <c r="N16" s="1" t="s">
        <v>45</v>
      </c>
      <c r="O16" s="1" t="n">
        <v>6</v>
      </c>
    </row>
    <row r="17" customFormat="false" ht="12.8" hidden="false" customHeight="false" outlineLevel="0" collapsed="false">
      <c r="A17" s="1" t="s">
        <v>46</v>
      </c>
      <c r="B17" s="1" t="s">
        <v>47</v>
      </c>
      <c r="C17" s="1" t="s">
        <v>90</v>
      </c>
      <c r="D17" s="1" t="s">
        <v>91</v>
      </c>
      <c r="E17" s="1" t="s">
        <v>32</v>
      </c>
      <c r="F17" s="1" t="s">
        <v>92</v>
      </c>
      <c r="G17" s="1" t="n">
        <v>1835</v>
      </c>
      <c r="H17" s="1" t="n">
        <v>700</v>
      </c>
      <c r="I17" s="1" t="n">
        <v>850</v>
      </c>
      <c r="J17" s="1" t="n">
        <v>0.46</v>
      </c>
      <c r="K17" s="1" t="n">
        <v>220</v>
      </c>
      <c r="L17" s="1" t="n">
        <v>89607.03</v>
      </c>
      <c r="M17" s="3" t="n">
        <f aca="false">L17-(L17*0.1)</f>
        <v>80646.327</v>
      </c>
      <c r="N17" s="1" t="s">
        <v>45</v>
      </c>
      <c r="O17" s="1" t="n">
        <v>45</v>
      </c>
      <c r="P17" s="1" t="n">
        <v>135</v>
      </c>
      <c r="Q17" s="1"/>
      <c r="R17" s="1"/>
    </row>
    <row r="18" customFormat="false" ht="12.8" hidden="false" customHeight="false" outlineLevel="0" collapsed="false">
      <c r="A18" s="1" t="s">
        <v>51</v>
      </c>
      <c r="B18" s="1" t="s">
        <v>52</v>
      </c>
      <c r="C18" s="1" t="s">
        <v>93</v>
      </c>
      <c r="D18" s="1" t="s">
        <v>94</v>
      </c>
      <c r="E18" s="1" t="s">
        <v>32</v>
      </c>
      <c r="F18" s="1" t="s">
        <v>74</v>
      </c>
      <c r="G18" s="1" t="n">
        <v>180</v>
      </c>
      <c r="H18" s="1" t="n">
        <v>220</v>
      </c>
      <c r="I18" s="1" t="n">
        <v>440</v>
      </c>
      <c r="J18" s="1" t="n">
        <v>1.3</v>
      </c>
      <c r="K18" s="1" t="n">
        <v>220</v>
      </c>
      <c r="L18" s="1" t="n">
        <v>28498.02</v>
      </c>
      <c r="M18" s="3" t="n">
        <f aca="false">L18-(L18*0.1)</f>
        <v>25648.218</v>
      </c>
      <c r="N18" s="1" t="s">
        <v>45</v>
      </c>
      <c r="O18" s="1" t="n">
        <v>2</v>
      </c>
    </row>
    <row r="19" customFormat="false" ht="12.8" hidden="false" customHeight="false" outlineLevel="0" collapsed="false">
      <c r="A19" s="1" t="s">
        <v>54</v>
      </c>
      <c r="B19" s="1" t="s">
        <v>55</v>
      </c>
      <c r="C19" s="1" t="s">
        <v>95</v>
      </c>
      <c r="D19" s="1" t="s">
        <v>69</v>
      </c>
      <c r="E19" s="1" t="s">
        <v>32</v>
      </c>
      <c r="F19" s="1" t="s">
        <v>96</v>
      </c>
      <c r="G19" s="1" t="n">
        <v>205</v>
      </c>
      <c r="H19" s="1" t="n">
        <v>230</v>
      </c>
      <c r="I19" s="1" t="n">
        <v>510</v>
      </c>
      <c r="J19" s="1" t="n">
        <v>1.2</v>
      </c>
      <c r="K19" s="1" t="n">
        <v>220</v>
      </c>
      <c r="L19" s="1" t="n">
        <v>57.84</v>
      </c>
      <c r="M19" s="3" t="n">
        <f aca="false">L19-(L19*0.1)</f>
        <v>52.056</v>
      </c>
      <c r="N19" s="1" t="s">
        <v>57</v>
      </c>
      <c r="O19" s="1" t="n">
        <v>600</v>
      </c>
    </row>
    <row r="20" customFormat="false" ht="12.8" hidden="false" customHeight="false" outlineLevel="0" collapsed="false">
      <c r="A20" s="1" t="s">
        <v>97</v>
      </c>
      <c r="B20" s="1" t="s">
        <v>98</v>
      </c>
      <c r="C20" s="1" t="s">
        <v>99</v>
      </c>
      <c r="D20" s="1" t="s">
        <v>100</v>
      </c>
      <c r="E20" s="1" t="s">
        <v>32</v>
      </c>
      <c r="F20" s="1" t="s">
        <v>101</v>
      </c>
      <c r="G20" s="1" t="n">
        <v>497</v>
      </c>
      <c r="H20" s="1" t="n">
        <v>592</v>
      </c>
      <c r="I20" s="1" t="n">
        <v>887</v>
      </c>
      <c r="J20" s="1" t="n">
        <v>0.6</v>
      </c>
      <c r="K20" s="1" t="n">
        <v>220</v>
      </c>
      <c r="L20" s="1" t="n">
        <v>151889.52</v>
      </c>
      <c r="M20" s="3" t="n">
        <f aca="false">L20-(L20*0.1)</f>
        <v>136700.568</v>
      </c>
      <c r="N20" s="1" t="s">
        <v>45</v>
      </c>
      <c r="P20" s="1" t="n">
        <v>100</v>
      </c>
      <c r="Q20" s="1"/>
      <c r="R20" s="1"/>
    </row>
    <row r="21" customFormat="false" ht="12.8" hidden="false" customHeight="false" outlineLevel="0" collapsed="false">
      <c r="A21" s="1" t="s">
        <v>102</v>
      </c>
      <c r="B21" s="1" t="s">
        <v>103</v>
      </c>
      <c r="C21" s="1" t="s">
        <v>104</v>
      </c>
      <c r="D21" s="1" t="s">
        <v>105</v>
      </c>
      <c r="E21" s="1" t="s">
        <v>32</v>
      </c>
      <c r="F21" s="1" t="s">
        <v>106</v>
      </c>
      <c r="G21" s="1" t="n">
        <v>535</v>
      </c>
      <c r="H21" s="1" t="n">
        <v>600</v>
      </c>
      <c r="I21" s="1" t="n">
        <v>910</v>
      </c>
      <c r="J21" s="1" t="n">
        <v>0.69</v>
      </c>
      <c r="K21" s="1" t="n">
        <v>220</v>
      </c>
      <c r="L21" s="1" t="n">
        <v>1735.5</v>
      </c>
      <c r="M21" s="3" t="n">
        <f aca="false">L21-(L21*0.1)</f>
        <v>1561.95</v>
      </c>
      <c r="N21" s="1" t="s">
        <v>34</v>
      </c>
    </row>
    <row r="22" customFormat="false" ht="12.8" hidden="false" customHeight="false" outlineLevel="0" collapsed="false">
      <c r="A22" s="1" t="s">
        <v>107</v>
      </c>
      <c r="B22" s="1" t="s">
        <v>108</v>
      </c>
      <c r="C22" s="1" t="s">
        <v>109</v>
      </c>
      <c r="D22" s="1" t="s">
        <v>110</v>
      </c>
      <c r="E22" s="1" t="s">
        <v>79</v>
      </c>
      <c r="F22" s="1" t="s">
        <v>111</v>
      </c>
      <c r="G22" s="1" t="n">
        <v>697</v>
      </c>
      <c r="H22" s="1" t="n">
        <v>710</v>
      </c>
      <c r="I22" s="1" t="n">
        <v>1960</v>
      </c>
      <c r="J22" s="1" t="n">
        <v>0.35</v>
      </c>
      <c r="K22" s="1" t="n">
        <v>200</v>
      </c>
      <c r="L22" s="1" t="n">
        <v>35868.7</v>
      </c>
      <c r="M22" s="3" t="n">
        <f aca="false">L22-(L22*0.1)</f>
        <v>32281.83</v>
      </c>
      <c r="N22" s="1" t="s">
        <v>45</v>
      </c>
      <c r="P22" s="1" t="n">
        <v>132</v>
      </c>
      <c r="Q22" s="1"/>
      <c r="R22" s="1"/>
    </row>
    <row r="23" customFormat="false" ht="12.8" hidden="false" customHeight="false" outlineLevel="0" collapsed="false">
      <c r="A23" s="1" t="s">
        <v>112</v>
      </c>
      <c r="B23" s="1" t="s">
        <v>113</v>
      </c>
      <c r="C23" s="1" t="s">
        <v>114</v>
      </c>
      <c r="D23" s="1" t="s">
        <v>115</v>
      </c>
      <c r="E23" s="1" t="s">
        <v>32</v>
      </c>
      <c r="F23" s="1" t="s">
        <v>116</v>
      </c>
      <c r="G23" s="1" t="n">
        <v>500</v>
      </c>
      <c r="H23" s="1" t="n">
        <v>610</v>
      </c>
      <c r="I23" s="1" t="n">
        <v>630</v>
      </c>
      <c r="J23" s="1" t="n">
        <v>6</v>
      </c>
      <c r="K23" s="1" t="n">
        <v>380</v>
      </c>
      <c r="L23" s="1" t="n">
        <v>561941.4</v>
      </c>
      <c r="M23" s="3" t="n">
        <f aca="false">L23-(L23*0.1)</f>
        <v>505747.26</v>
      </c>
      <c r="N23" s="1" t="s">
        <v>45</v>
      </c>
      <c r="O23" s="1" t="n">
        <v>20</v>
      </c>
    </row>
    <row r="24" customFormat="false" ht="12.8" hidden="false" customHeight="false" outlineLevel="0" collapsed="false">
      <c r="A24" s="1" t="s">
        <v>117</v>
      </c>
      <c r="B24" s="1" t="s">
        <v>118</v>
      </c>
      <c r="C24" s="1" t="s">
        <v>119</v>
      </c>
      <c r="D24" s="1" t="s">
        <v>120</v>
      </c>
      <c r="E24" s="1" t="s">
        <v>61</v>
      </c>
      <c r="F24" s="1" t="s">
        <v>89</v>
      </c>
      <c r="G24" s="1" t="n">
        <v>480</v>
      </c>
      <c r="H24" s="1" t="n">
        <v>560</v>
      </c>
      <c r="I24" s="1" t="n">
        <v>1000</v>
      </c>
      <c r="J24" s="1" t="n">
        <v>3.6</v>
      </c>
      <c r="K24" s="1" t="n">
        <v>220</v>
      </c>
      <c r="L24" s="1" t="n">
        <v>31287.24</v>
      </c>
      <c r="M24" s="3" t="n">
        <f aca="false">L24-(L24*0.1)</f>
        <v>28158.516</v>
      </c>
      <c r="N24" s="1" t="s">
        <v>45</v>
      </c>
      <c r="P24" s="1" t="n">
        <v>67</v>
      </c>
      <c r="Q24" s="1"/>
      <c r="R24" s="1"/>
    </row>
    <row r="25" customFormat="false" ht="12.8" hidden="false" customHeight="false" outlineLevel="0" collapsed="false">
      <c r="A25" s="1" t="s">
        <v>121</v>
      </c>
      <c r="B25" s="1" t="s">
        <v>122</v>
      </c>
      <c r="C25" s="1" t="s">
        <v>123</v>
      </c>
      <c r="D25" s="1" t="s">
        <v>124</v>
      </c>
      <c r="E25" s="1" t="s">
        <v>32</v>
      </c>
      <c r="F25" s="1" t="s">
        <v>111</v>
      </c>
      <c r="G25" s="1" t="n">
        <v>1777</v>
      </c>
      <c r="H25" s="1" t="n">
        <v>700</v>
      </c>
      <c r="I25" s="1" t="n">
        <v>850</v>
      </c>
      <c r="J25" s="1" t="n">
        <v>0.2</v>
      </c>
      <c r="K25" s="1" t="n">
        <v>220</v>
      </c>
      <c r="L25" s="1" t="n">
        <v>80678.67</v>
      </c>
      <c r="M25" s="3" t="n">
        <f aca="false">L25-(L25*0.1)</f>
        <v>72610.803</v>
      </c>
      <c r="N25" s="1" t="s">
        <v>45</v>
      </c>
      <c r="O25" s="1" t="n">
        <v>7</v>
      </c>
      <c r="P25" s="1" t="n">
        <v>77</v>
      </c>
      <c r="Q25" s="1"/>
      <c r="R25" s="1"/>
    </row>
    <row r="26" customFormat="false" ht="12.8" hidden="false" customHeight="false" outlineLevel="0" collapsed="false">
      <c r="A26" s="1" t="s">
        <v>125</v>
      </c>
      <c r="B26" s="1" t="s">
        <v>126</v>
      </c>
      <c r="C26" s="1" t="s">
        <v>127</v>
      </c>
      <c r="D26" s="1" t="s">
        <v>128</v>
      </c>
      <c r="E26" s="1" t="s">
        <v>129</v>
      </c>
      <c r="F26" s="1" t="s">
        <v>106</v>
      </c>
      <c r="G26" s="1" t="n">
        <v>1300</v>
      </c>
      <c r="H26" s="1" t="n">
        <v>700</v>
      </c>
      <c r="I26" s="1" t="n">
        <v>950</v>
      </c>
      <c r="J26" s="1" t="n">
        <v>0.25</v>
      </c>
      <c r="K26" s="1" t="n">
        <v>220</v>
      </c>
      <c r="L26" s="1" t="n">
        <v>627500.25</v>
      </c>
      <c r="M26" s="3" t="n">
        <f aca="false">L26-(L26*0.1)</f>
        <v>564750.225</v>
      </c>
      <c r="N26" s="1" t="s">
        <v>45</v>
      </c>
    </row>
    <row r="27" customFormat="false" ht="12.8" hidden="false" customHeight="false" outlineLevel="0" collapsed="false">
      <c r="A27" s="1" t="s">
        <v>130</v>
      </c>
      <c r="B27" s="1" t="s">
        <v>131</v>
      </c>
      <c r="C27" s="1" t="s">
        <v>132</v>
      </c>
      <c r="D27" s="1" t="s">
        <v>133</v>
      </c>
      <c r="E27" s="1" t="s">
        <v>32</v>
      </c>
      <c r="F27" s="1" t="s">
        <v>111</v>
      </c>
      <c r="G27" s="1" t="n">
        <v>800</v>
      </c>
      <c r="H27" s="1" t="n">
        <v>840</v>
      </c>
      <c r="I27" s="1" t="n">
        <v>1055</v>
      </c>
      <c r="J27" s="1" t="n">
        <v>12.5</v>
      </c>
      <c r="K27" s="1" t="n">
        <v>380</v>
      </c>
      <c r="L27" s="1" t="n">
        <v>280566.67</v>
      </c>
      <c r="M27" s="3" t="n">
        <f aca="false">L27-(L27*0.1)</f>
        <v>252510.003</v>
      </c>
      <c r="N27" s="1" t="s">
        <v>45</v>
      </c>
      <c r="O27" s="1" t="n">
        <v>1</v>
      </c>
      <c r="P27" s="1" t="n">
        <v>115</v>
      </c>
      <c r="Q27" s="1"/>
      <c r="R27" s="1"/>
    </row>
    <row r="28" customFormat="false" ht="12.8" hidden="false" customHeight="false" outlineLevel="0" collapsed="false">
      <c r="A28" s="1" t="s">
        <v>134</v>
      </c>
      <c r="B28" s="1" t="s">
        <v>135</v>
      </c>
      <c r="C28" s="1" t="s">
        <v>136</v>
      </c>
      <c r="D28" s="1" t="s">
        <v>133</v>
      </c>
      <c r="E28" s="1" t="s">
        <v>79</v>
      </c>
      <c r="F28" s="1" t="s">
        <v>111</v>
      </c>
      <c r="G28" s="1" t="n">
        <v>1050</v>
      </c>
      <c r="H28" s="1" t="n">
        <v>895</v>
      </c>
      <c r="I28" s="1" t="n">
        <v>860</v>
      </c>
      <c r="J28" s="1" t="n">
        <v>16.8</v>
      </c>
      <c r="K28" s="1" t="n">
        <v>380</v>
      </c>
      <c r="L28" s="1" t="n">
        <v>48238.41</v>
      </c>
      <c r="M28" s="3" t="n">
        <f aca="false">L28-(L28*0.1)</f>
        <v>43414.569</v>
      </c>
      <c r="N28" s="1" t="s">
        <v>45</v>
      </c>
      <c r="P28" s="1" t="n">
        <v>115</v>
      </c>
      <c r="Q28" s="1"/>
      <c r="R28" s="1"/>
    </row>
    <row r="29" customFormat="false" ht="12.8" hidden="false" customHeight="false" outlineLevel="0" collapsed="false">
      <c r="A29" s="1" t="s">
        <v>137</v>
      </c>
      <c r="B29" s="1" t="s">
        <v>138</v>
      </c>
      <c r="C29" s="1" t="s">
        <v>139</v>
      </c>
      <c r="D29" s="1" t="s">
        <v>140</v>
      </c>
      <c r="E29" s="1" t="s">
        <v>61</v>
      </c>
      <c r="F29" s="1" t="s">
        <v>70</v>
      </c>
      <c r="G29" s="1" t="n">
        <v>19</v>
      </c>
      <c r="H29" s="1" t="n">
        <v>216</v>
      </c>
      <c r="I29" s="1" t="n">
        <v>400</v>
      </c>
      <c r="J29" s="1" t="n">
        <v>1.19</v>
      </c>
      <c r="K29" s="1" t="n">
        <v>220</v>
      </c>
      <c r="L29" s="1" t="n">
        <v>341.94</v>
      </c>
      <c r="M29" s="3" t="n">
        <f aca="false">L29-(L29*0.1)</f>
        <v>307.746</v>
      </c>
      <c r="N29" s="1" t="s">
        <v>57</v>
      </c>
    </row>
    <row r="30" customFormat="false" ht="12.8" hidden="false" customHeight="false" outlineLevel="0" collapsed="false">
      <c r="A30" s="1" t="s">
        <v>141</v>
      </c>
      <c r="B30" s="1" t="s">
        <v>142</v>
      </c>
      <c r="C30" s="1" t="s">
        <v>143</v>
      </c>
      <c r="D30" s="1" t="s">
        <v>144</v>
      </c>
      <c r="E30" s="1" t="s">
        <v>32</v>
      </c>
      <c r="F30" s="1" t="s">
        <v>70</v>
      </c>
      <c r="G30" s="1" t="n">
        <v>400</v>
      </c>
      <c r="H30" s="1" t="n">
        <v>310</v>
      </c>
      <c r="I30" s="1" t="n">
        <v>420</v>
      </c>
      <c r="J30" s="1" t="n">
        <v>0.15</v>
      </c>
      <c r="K30" s="1" t="n">
        <v>220</v>
      </c>
      <c r="L30" s="1" t="n">
        <v>187.98</v>
      </c>
      <c r="M30" s="3" t="n">
        <f aca="false">L30-(L30*0.1)</f>
        <v>169.182</v>
      </c>
      <c r="N30" s="1" t="s">
        <v>45</v>
      </c>
      <c r="O30" s="1" t="n">
        <v>100</v>
      </c>
    </row>
    <row r="31" customFormat="false" ht="12.8" hidden="false" customHeight="false" outlineLevel="0" collapsed="false">
      <c r="A31" s="1" t="s">
        <v>66</v>
      </c>
      <c r="B31" s="1" t="s">
        <v>67</v>
      </c>
      <c r="C31" s="1" t="s">
        <v>145</v>
      </c>
      <c r="D31" s="1" t="s">
        <v>69</v>
      </c>
      <c r="E31" s="1" t="s">
        <v>129</v>
      </c>
      <c r="F31" s="1" t="s">
        <v>70</v>
      </c>
      <c r="G31" s="1" t="n">
        <v>460</v>
      </c>
      <c r="H31" s="1" t="n">
        <v>460</v>
      </c>
      <c r="I31" s="1" t="n">
        <v>375</v>
      </c>
      <c r="J31" s="1" t="n">
        <v>4</v>
      </c>
      <c r="K31" s="1" t="n">
        <v>220</v>
      </c>
      <c r="L31" s="1" t="n">
        <v>7994.27</v>
      </c>
      <c r="M31" s="3" t="n">
        <f aca="false">L31-(L31*0.1)</f>
        <v>7194.843</v>
      </c>
      <c r="N31" s="1" t="s">
        <v>45</v>
      </c>
      <c r="O31" s="1" t="n">
        <v>690</v>
      </c>
      <c r="P31" s="1" t="n">
        <v>300</v>
      </c>
      <c r="Q31" s="1"/>
      <c r="R31" s="1"/>
    </row>
    <row r="32" customFormat="false" ht="12.8" hidden="false" customHeight="false" outlineLevel="0" collapsed="false">
      <c r="A32" s="1" t="s">
        <v>83</v>
      </c>
      <c r="B32" s="1" t="s">
        <v>29</v>
      </c>
      <c r="C32" s="1" t="s">
        <v>146</v>
      </c>
      <c r="D32" s="1" t="s">
        <v>31</v>
      </c>
      <c r="E32" s="1" t="s">
        <v>32</v>
      </c>
      <c r="F32" s="1" t="s">
        <v>106</v>
      </c>
      <c r="G32" s="1" t="n">
        <v>490</v>
      </c>
      <c r="H32" s="1" t="n">
        <v>490</v>
      </c>
      <c r="I32" s="1" t="n">
        <v>340</v>
      </c>
      <c r="J32" s="1" t="n">
        <v>1.99</v>
      </c>
      <c r="K32" s="1" t="n">
        <v>220</v>
      </c>
      <c r="L32" s="1" t="n">
        <v>198.86</v>
      </c>
      <c r="M32" s="3" t="n">
        <f aca="false">L32-(L32*0.1)</f>
        <v>178.974</v>
      </c>
      <c r="N32" s="1" t="s">
        <v>34</v>
      </c>
    </row>
    <row r="33" customFormat="false" ht="12.8" hidden="false" customHeight="false" outlineLevel="0" collapsed="false">
      <c r="A33" s="1" t="s">
        <v>71</v>
      </c>
      <c r="B33" s="1" t="s">
        <v>72</v>
      </c>
      <c r="C33" s="1" t="s">
        <v>147</v>
      </c>
      <c r="D33" s="1" t="s">
        <v>69</v>
      </c>
      <c r="E33" s="1" t="s">
        <v>79</v>
      </c>
      <c r="F33" s="1" t="s">
        <v>62</v>
      </c>
      <c r="G33" s="1" t="n">
        <v>430</v>
      </c>
      <c r="H33" s="1" t="n">
        <v>370</v>
      </c>
      <c r="I33" s="1" t="n">
        <v>210</v>
      </c>
      <c r="J33" s="1" t="n">
        <v>2.2</v>
      </c>
      <c r="K33" s="1" t="n">
        <v>220</v>
      </c>
      <c r="L33" s="1" t="n">
        <v>22142.25</v>
      </c>
      <c r="M33" s="3" t="n">
        <f aca="false">L33-(L33*0.1)</f>
        <v>19928.025</v>
      </c>
      <c r="N33" s="1" t="s">
        <v>45</v>
      </c>
      <c r="O33" s="1" t="n">
        <v>77</v>
      </c>
      <c r="P33" s="1" t="n">
        <v>180</v>
      </c>
      <c r="Q33" s="1"/>
      <c r="R33" s="1"/>
    </row>
    <row r="34" customFormat="false" ht="12.8" hidden="false" customHeight="false" outlineLevel="0" collapsed="false">
      <c r="A34" s="1" t="s">
        <v>71</v>
      </c>
      <c r="B34" s="1" t="s">
        <v>72</v>
      </c>
      <c r="C34" s="1" t="s">
        <v>148</v>
      </c>
      <c r="D34" s="1" t="s">
        <v>69</v>
      </c>
      <c r="E34" s="1" t="s">
        <v>32</v>
      </c>
      <c r="F34" s="1" t="s">
        <v>87</v>
      </c>
      <c r="G34" s="1" t="n">
        <v>430</v>
      </c>
      <c r="H34" s="1" t="n">
        <v>370</v>
      </c>
      <c r="I34" s="1" t="n">
        <v>210</v>
      </c>
      <c r="J34" s="1" t="n">
        <v>2.2</v>
      </c>
      <c r="K34" s="1" t="n">
        <v>220</v>
      </c>
      <c r="L34" s="1" t="n">
        <v>22142.25</v>
      </c>
      <c r="M34" s="3" t="n">
        <f aca="false">L34-(L34*0.1)</f>
        <v>19928.025</v>
      </c>
      <c r="N34" s="1" t="s">
        <v>45</v>
      </c>
      <c r="O34" s="1" t="n">
        <v>77</v>
      </c>
      <c r="P34" s="1" t="n">
        <v>180</v>
      </c>
      <c r="Q34" s="1"/>
      <c r="R34" s="1"/>
    </row>
    <row r="35" customFormat="false" ht="12.8" hidden="false" customHeight="false" outlineLevel="0" collapsed="false">
      <c r="A35" s="1" t="s">
        <v>149</v>
      </c>
      <c r="B35" s="1" t="s">
        <v>150</v>
      </c>
      <c r="C35" s="1" t="s">
        <v>151</v>
      </c>
      <c r="D35" s="1" t="s">
        <v>152</v>
      </c>
      <c r="E35" s="1" t="s">
        <v>153</v>
      </c>
      <c r="F35" s="1" t="s">
        <v>154</v>
      </c>
      <c r="G35" s="1" t="n">
        <v>111</v>
      </c>
      <c r="H35" s="1" t="n">
        <v>111</v>
      </c>
      <c r="I35" s="1" t="n">
        <v>111</v>
      </c>
      <c r="J35" s="1" t="n">
        <v>1</v>
      </c>
      <c r="K35" s="1" t="n">
        <v>1</v>
      </c>
      <c r="L35" s="1" t="n">
        <v>1234</v>
      </c>
      <c r="M35" s="3" t="n">
        <f aca="false">L35-(L35*0.1)</f>
        <v>1110.6</v>
      </c>
      <c r="N35" s="1" t="s">
        <v>155</v>
      </c>
      <c r="O35" s="1" t="n">
        <v>11</v>
      </c>
      <c r="P35" s="1" t="n">
        <v>111</v>
      </c>
      <c r="Q35" s="1"/>
      <c r="R35" s="1"/>
    </row>
    <row r="36" customFormat="false" ht="12.8" hidden="false" customHeight="false" outlineLevel="0" collapsed="false">
      <c r="A36" s="1" t="s">
        <v>156</v>
      </c>
      <c r="B36" s="1" t="s">
        <v>157</v>
      </c>
      <c r="C36" s="1" t="s">
        <v>158</v>
      </c>
      <c r="D36" s="1" t="s">
        <v>152</v>
      </c>
      <c r="E36" s="1" t="s">
        <v>153</v>
      </c>
      <c r="F36" s="1" t="s">
        <v>159</v>
      </c>
      <c r="G36" s="1" t="n">
        <v>111</v>
      </c>
      <c r="H36" s="1" t="n">
        <v>111</v>
      </c>
      <c r="I36" s="1" t="n">
        <v>111</v>
      </c>
      <c r="J36" s="1" t="n">
        <v>1</v>
      </c>
      <c r="K36" s="1" t="n">
        <v>1</v>
      </c>
      <c r="L36" s="1" t="n">
        <v>1234</v>
      </c>
      <c r="M36" s="3" t="n">
        <f aca="false">L36-(L36*0.1)</f>
        <v>1110.6</v>
      </c>
      <c r="N36" s="1" t="s">
        <v>155</v>
      </c>
      <c r="O36" s="1" t="n">
        <v>11</v>
      </c>
      <c r="P36" s="1" t="n">
        <v>111</v>
      </c>
      <c r="Q36" s="1"/>
      <c r="R36" s="1"/>
    </row>
    <row r="37" customFormat="false" ht="12.8" hidden="false" customHeight="false" outlineLevel="0" collapsed="false">
      <c r="A37" s="1" t="s">
        <v>97</v>
      </c>
      <c r="B37" s="1" t="s">
        <v>98</v>
      </c>
      <c r="C37" s="1" t="s">
        <v>160</v>
      </c>
      <c r="D37" s="1" t="s">
        <v>100</v>
      </c>
      <c r="E37" s="1" t="s">
        <v>161</v>
      </c>
      <c r="F37" s="1" t="s">
        <v>96</v>
      </c>
      <c r="G37" s="1" t="n">
        <v>497</v>
      </c>
      <c r="H37" s="1" t="n">
        <v>592</v>
      </c>
      <c r="I37" s="1" t="n">
        <v>887</v>
      </c>
      <c r="J37" s="1" t="n">
        <v>0.6</v>
      </c>
      <c r="K37" s="1" t="n">
        <v>220</v>
      </c>
      <c r="L37" s="1" t="n">
        <v>151889.52</v>
      </c>
      <c r="M37" s="3" t="n">
        <f aca="false">L37-(L37*0.1)</f>
        <v>136700.568</v>
      </c>
      <c r="N37" s="1" t="s">
        <v>45</v>
      </c>
      <c r="P37" s="1" t="n">
        <v>100</v>
      </c>
      <c r="Q37" s="1"/>
      <c r="R37" s="1"/>
    </row>
    <row r="38" customFormat="false" ht="12.8" hidden="false" customHeight="false" outlineLevel="0" collapsed="false">
      <c r="A38" s="1" t="s">
        <v>97</v>
      </c>
      <c r="B38" s="1" t="s">
        <v>98</v>
      </c>
      <c r="C38" s="1" t="s">
        <v>162</v>
      </c>
      <c r="D38" s="1" t="s">
        <v>100</v>
      </c>
      <c r="E38" s="1" t="s">
        <v>161</v>
      </c>
      <c r="F38" s="1" t="s">
        <v>89</v>
      </c>
      <c r="G38" s="1" t="n">
        <v>497</v>
      </c>
      <c r="H38" s="1" t="n">
        <v>592</v>
      </c>
      <c r="I38" s="1" t="n">
        <v>887</v>
      </c>
      <c r="J38" s="1" t="n">
        <v>0.6</v>
      </c>
      <c r="K38" s="1" t="n">
        <v>220</v>
      </c>
      <c r="L38" s="1" t="n">
        <v>151889.52</v>
      </c>
      <c r="M38" s="3" t="n">
        <f aca="false">L38-(L38*0.1)</f>
        <v>136700.568</v>
      </c>
      <c r="N38" s="1" t="s">
        <v>45</v>
      </c>
      <c r="P38" s="1" t="n">
        <v>100</v>
      </c>
      <c r="Q38" s="1"/>
      <c r="R38" s="1"/>
    </row>
    <row r="39" customFormat="false" ht="12.8" hidden="false" customHeight="false" outlineLevel="0" collapsed="false">
      <c r="A39" s="1" t="s">
        <v>163</v>
      </c>
      <c r="B39" s="1" t="s">
        <v>164</v>
      </c>
      <c r="C39" s="1" t="n">
        <v>136021</v>
      </c>
      <c r="D39" s="1" t="s">
        <v>60</v>
      </c>
      <c r="E39" s="1" t="s">
        <v>165</v>
      </c>
      <c r="G39" s="1" t="n">
        <v>600</v>
      </c>
      <c r="H39" s="1" t="n">
        <v>600</v>
      </c>
      <c r="I39" s="1" t="n">
        <v>600</v>
      </c>
      <c r="J39" s="1" t="n">
        <v>600</v>
      </c>
      <c r="K39" s="1" t="n">
        <v>600</v>
      </c>
      <c r="L39" s="1" t="n">
        <v>5258.82</v>
      </c>
      <c r="M39" s="3" t="n">
        <f aca="false">L39-(L39*0.1)</f>
        <v>4732.938</v>
      </c>
      <c r="N39" s="1" t="s">
        <v>45</v>
      </c>
    </row>
    <row r="40" customFormat="false" ht="12.8" hidden="false" customHeight="false" outlineLevel="0" collapsed="false">
      <c r="A40" s="1" t="s">
        <v>166</v>
      </c>
      <c r="B40" s="1" t="s">
        <v>167</v>
      </c>
      <c r="C40" s="1" t="n">
        <v>2</v>
      </c>
      <c r="D40" s="1" t="s">
        <v>60</v>
      </c>
      <c r="E40" s="1" t="s">
        <v>32</v>
      </c>
      <c r="F40" s="1" t="s">
        <v>62</v>
      </c>
      <c r="G40" s="1" t="n">
        <v>1360</v>
      </c>
      <c r="H40" s="1" t="n">
        <v>1760</v>
      </c>
      <c r="I40" s="1" t="n">
        <v>1750</v>
      </c>
      <c r="J40" s="1" t="n">
        <v>1</v>
      </c>
      <c r="K40" s="1" t="n">
        <v>380</v>
      </c>
      <c r="L40" s="1" t="n">
        <v>4748.76</v>
      </c>
      <c r="M40" s="3" t="n">
        <f aca="false">L40-(L40*0.1)</f>
        <v>4273.884</v>
      </c>
      <c r="N40" s="1" t="s">
        <v>34</v>
      </c>
      <c r="O40" s="1" t="n">
        <v>0</v>
      </c>
      <c r="P40" s="1" t="n">
        <v>2</v>
      </c>
      <c r="Q40" s="1"/>
      <c r="R40" s="1"/>
    </row>
    <row r="41" customFormat="false" ht="12.8" hidden="false" customHeight="false" outlineLevel="0" collapsed="false">
      <c r="A41" s="1" t="s">
        <v>163</v>
      </c>
      <c r="B41" s="1" t="s">
        <v>168</v>
      </c>
      <c r="C41" s="1" t="n">
        <v>3</v>
      </c>
      <c r="D41" s="1" t="s">
        <v>60</v>
      </c>
      <c r="E41" s="1" t="s">
        <v>129</v>
      </c>
      <c r="F41" s="1" t="s">
        <v>62</v>
      </c>
      <c r="G41" s="1" t="n">
        <v>600</v>
      </c>
      <c r="H41" s="1" t="n">
        <v>400</v>
      </c>
      <c r="I41" s="1" t="n">
        <v>20</v>
      </c>
      <c r="J41" s="1" t="n">
        <v>415</v>
      </c>
      <c r="K41" s="1" t="n">
        <v>415</v>
      </c>
      <c r="L41" s="1" t="n">
        <v>5258.82</v>
      </c>
      <c r="M41" s="3" t="n">
        <f aca="false">L41-(L41*0.1)</f>
        <v>4732.938</v>
      </c>
      <c r="N41" s="1" t="s">
        <v>45</v>
      </c>
      <c r="O41" s="1" t="n">
        <v>0</v>
      </c>
      <c r="P41" s="1" t="n">
        <v>135</v>
      </c>
      <c r="Q41" s="1"/>
      <c r="R41" s="1"/>
    </row>
    <row r="42" customFormat="false" ht="12.8" hidden="false" customHeight="false" outlineLevel="0" collapsed="false">
      <c r="A42" s="1" t="s">
        <v>169</v>
      </c>
      <c r="B42" s="1" t="s">
        <v>170</v>
      </c>
      <c r="C42" s="1" t="n">
        <v>4</v>
      </c>
      <c r="D42" s="1" t="s">
        <v>171</v>
      </c>
      <c r="E42" s="1" t="s">
        <v>32</v>
      </c>
      <c r="F42" s="1" t="s">
        <v>62</v>
      </c>
      <c r="G42" s="1" t="n">
        <v>595</v>
      </c>
      <c r="H42" s="1" t="n">
        <v>580</v>
      </c>
      <c r="I42" s="1" t="n">
        <v>1590</v>
      </c>
      <c r="J42" s="1" t="n">
        <v>0.17</v>
      </c>
      <c r="K42" s="1" t="n">
        <v>220</v>
      </c>
      <c r="L42" s="1" t="n">
        <v>5258.82</v>
      </c>
      <c r="M42" s="3" t="n">
        <f aca="false">L42-(L42*0.1)</f>
        <v>4732.938</v>
      </c>
      <c r="N42" s="1" t="s">
        <v>45</v>
      </c>
      <c r="O42" s="1" t="n">
        <v>20</v>
      </c>
      <c r="P42" s="1" t="n">
        <v>115</v>
      </c>
      <c r="Q42" s="1"/>
      <c r="R42" s="1"/>
    </row>
    <row r="43" customFormat="false" ht="12.8" hidden="false" customHeight="false" outlineLevel="0" collapsed="false">
      <c r="A43" s="1" t="s">
        <v>172</v>
      </c>
      <c r="B43" s="1" t="s">
        <v>173</v>
      </c>
      <c r="C43" s="1" t="n">
        <v>5</v>
      </c>
      <c r="D43" s="1" t="s">
        <v>171</v>
      </c>
      <c r="E43" s="1" t="s">
        <v>79</v>
      </c>
      <c r="F43" s="1" t="s">
        <v>62</v>
      </c>
      <c r="G43" s="1" t="n">
        <v>947</v>
      </c>
      <c r="H43" s="1" t="n">
        <v>720</v>
      </c>
      <c r="I43" s="1" t="n">
        <v>1342</v>
      </c>
      <c r="J43" s="1" t="n">
        <v>0.3</v>
      </c>
      <c r="K43" s="1" t="n">
        <v>220</v>
      </c>
      <c r="L43" s="1" t="n">
        <v>1000</v>
      </c>
      <c r="M43" s="3" t="n">
        <f aca="false">L43-(L43*0.1)</f>
        <v>900</v>
      </c>
      <c r="N43" s="1" t="s">
        <v>45</v>
      </c>
      <c r="O43" s="1" t="n">
        <v>15</v>
      </c>
      <c r="P43" s="1" t="n">
        <v>115</v>
      </c>
      <c r="Q43" s="1"/>
      <c r="R43" s="1"/>
    </row>
    <row r="44" customFormat="false" ht="12.8" hidden="false" customHeight="false" outlineLevel="0" collapsed="false">
      <c r="A44" s="1" t="s">
        <v>174</v>
      </c>
      <c r="B44" s="1" t="s">
        <v>175</v>
      </c>
      <c r="C44" s="1" t="n">
        <v>6</v>
      </c>
      <c r="D44" s="1" t="s">
        <v>176</v>
      </c>
      <c r="E44" s="1" t="s">
        <v>61</v>
      </c>
      <c r="F44" s="1" t="s">
        <v>96</v>
      </c>
      <c r="G44" s="1" t="n">
        <v>409</v>
      </c>
      <c r="H44" s="1" t="n">
        <v>38</v>
      </c>
      <c r="I44" s="1" t="n">
        <v>792</v>
      </c>
      <c r="J44" s="1" t="n">
        <v>2.3</v>
      </c>
      <c r="K44" s="1" t="n">
        <v>220</v>
      </c>
      <c r="L44" s="1" t="n">
        <v>7404.18</v>
      </c>
      <c r="M44" s="3" t="n">
        <f aca="false">L44-(L44*0.1)</f>
        <v>6663.762</v>
      </c>
      <c r="N44" s="1" t="s">
        <v>34</v>
      </c>
      <c r="O44" s="1" t="n">
        <v>0</v>
      </c>
    </row>
    <row r="45" customFormat="false" ht="12.8" hidden="false" customHeight="false" outlineLevel="0" collapsed="false">
      <c r="A45" s="1" t="s">
        <v>177</v>
      </c>
      <c r="B45" s="1" t="s">
        <v>178</v>
      </c>
      <c r="C45" s="1" t="n">
        <v>7</v>
      </c>
      <c r="D45" s="1" t="s">
        <v>176</v>
      </c>
      <c r="E45" s="1" t="s">
        <v>32</v>
      </c>
      <c r="F45" s="1" t="s">
        <v>179</v>
      </c>
      <c r="G45" s="1" t="n">
        <v>585</v>
      </c>
      <c r="H45" s="1" t="n">
        <v>304</v>
      </c>
      <c r="I45" s="1" t="n">
        <v>304</v>
      </c>
      <c r="J45" s="1" t="n">
        <v>3</v>
      </c>
      <c r="K45" s="1" t="n">
        <v>380</v>
      </c>
      <c r="L45" s="1" t="n">
        <v>2748.24</v>
      </c>
      <c r="M45" s="3" t="n">
        <f aca="false">L45-(L45*0.1)</f>
        <v>2473.416</v>
      </c>
      <c r="N45" s="1" t="s">
        <v>45</v>
      </c>
      <c r="O45" s="1" t="n">
        <v>15</v>
      </c>
      <c r="P45" s="1" t="n">
        <v>120</v>
      </c>
      <c r="Q45" s="1"/>
      <c r="R45" s="1"/>
    </row>
    <row r="46" customFormat="false" ht="12.8" hidden="false" customHeight="false" outlineLevel="0" collapsed="false">
      <c r="A46" s="1" t="s">
        <v>180</v>
      </c>
      <c r="B46" s="1" t="s">
        <v>181</v>
      </c>
      <c r="C46" s="1" t="n">
        <v>8</v>
      </c>
      <c r="D46" s="1" t="s">
        <v>176</v>
      </c>
      <c r="E46" s="1" t="s">
        <v>129</v>
      </c>
      <c r="F46" s="1" t="s">
        <v>179</v>
      </c>
      <c r="G46" s="1" t="n">
        <v>155</v>
      </c>
      <c r="H46" s="1" t="n">
        <v>155</v>
      </c>
      <c r="I46" s="1" t="n">
        <v>455</v>
      </c>
      <c r="J46" s="1" t="n">
        <v>415</v>
      </c>
      <c r="K46" s="1" t="n">
        <v>415</v>
      </c>
      <c r="L46" s="1" t="n">
        <v>140.7</v>
      </c>
      <c r="M46" s="3" t="n">
        <f aca="false">L46-(L46*0.1)</f>
        <v>126.63</v>
      </c>
      <c r="N46" s="1" t="s">
        <v>45</v>
      </c>
      <c r="O46" s="1" t="n">
        <v>0</v>
      </c>
    </row>
    <row r="47" customFormat="false" ht="12.8" hidden="false" customHeight="false" outlineLevel="0" collapsed="false">
      <c r="A47" s="1" t="s">
        <v>182</v>
      </c>
      <c r="B47" s="1" t="s">
        <v>183</v>
      </c>
      <c r="C47" s="1" t="n">
        <v>9</v>
      </c>
      <c r="D47" s="1" t="s">
        <v>184</v>
      </c>
      <c r="E47" s="1" t="s">
        <v>32</v>
      </c>
      <c r="F47" s="1" t="s">
        <v>62</v>
      </c>
      <c r="G47" s="1" t="n">
        <v>624</v>
      </c>
      <c r="H47" s="1" t="n">
        <v>792</v>
      </c>
      <c r="I47" s="1" t="n">
        <v>1367</v>
      </c>
      <c r="J47" s="1" t="n">
        <v>0.7</v>
      </c>
      <c r="K47" s="1" t="n">
        <v>380</v>
      </c>
      <c r="L47" s="1" t="n">
        <v>5589.42</v>
      </c>
      <c r="M47" s="3" t="n">
        <f aca="false">L47-(L47*0.1)</f>
        <v>5030.478</v>
      </c>
      <c r="N47" s="1" t="s">
        <v>45</v>
      </c>
      <c r="O47" s="1" t="n">
        <v>0</v>
      </c>
      <c r="P47" s="1" t="n">
        <v>120</v>
      </c>
      <c r="Q47" s="1"/>
      <c r="R47" s="1"/>
    </row>
    <row r="48" customFormat="false" ht="12.8" hidden="false" customHeight="false" outlineLevel="0" collapsed="false">
      <c r="A48" s="1" t="s">
        <v>185</v>
      </c>
      <c r="B48" s="1" t="s">
        <v>186</v>
      </c>
      <c r="C48" s="1" t="n">
        <v>10</v>
      </c>
      <c r="D48" s="1" t="s">
        <v>184</v>
      </c>
      <c r="E48" s="1" t="s">
        <v>79</v>
      </c>
      <c r="F48" s="1" t="s">
        <v>179</v>
      </c>
      <c r="G48" s="1" t="n">
        <v>260</v>
      </c>
      <c r="H48" s="1" t="n">
        <v>415</v>
      </c>
      <c r="I48" s="1" t="n">
        <v>3.7</v>
      </c>
      <c r="J48" s="1" t="n">
        <v>3.7</v>
      </c>
      <c r="K48" s="1" t="n">
        <v>415</v>
      </c>
      <c r="L48" s="1" t="n">
        <v>6658.56</v>
      </c>
      <c r="M48" s="3" t="n">
        <f aca="false">L48-(L48*0.1)</f>
        <v>5992.704</v>
      </c>
      <c r="N48" s="1" t="s">
        <v>45</v>
      </c>
      <c r="O48" s="1" t="n">
        <v>0</v>
      </c>
      <c r="P48" s="1" t="n">
        <v>120</v>
      </c>
      <c r="Q48" s="1"/>
      <c r="R48" s="1"/>
    </row>
    <row r="49" customFormat="false" ht="12.8" hidden="false" customHeight="false" outlineLevel="0" collapsed="false">
      <c r="A49" s="1" t="s">
        <v>187</v>
      </c>
      <c r="B49" s="1" t="s">
        <v>188</v>
      </c>
      <c r="C49" s="1" t="n">
        <v>11</v>
      </c>
      <c r="D49" s="1" t="s">
        <v>31</v>
      </c>
      <c r="E49" s="1" t="s">
        <v>61</v>
      </c>
      <c r="F49" s="1" t="s">
        <v>96</v>
      </c>
      <c r="G49" s="1" t="n">
        <v>500</v>
      </c>
      <c r="H49" s="1" t="n">
        <v>520</v>
      </c>
      <c r="I49" s="1" t="n">
        <v>790</v>
      </c>
      <c r="J49" s="1" t="n">
        <v>4</v>
      </c>
      <c r="K49" s="1" t="n">
        <v>4</v>
      </c>
      <c r="L49" s="1" t="n">
        <v>863.22</v>
      </c>
      <c r="M49" s="3" t="n">
        <f aca="false">L49-(L49*0.1)</f>
        <v>776.898</v>
      </c>
      <c r="N49" s="1" t="s">
        <v>45</v>
      </c>
      <c r="O49" s="1" t="n">
        <v>15</v>
      </c>
      <c r="P49" s="1" t="n">
        <v>120</v>
      </c>
      <c r="Q49" s="1"/>
      <c r="R49" s="1"/>
    </row>
    <row r="50" customFormat="false" ht="12.8" hidden="false" customHeight="false" outlineLevel="0" collapsed="false">
      <c r="A50" s="1" t="s">
        <v>189</v>
      </c>
      <c r="B50" s="1" t="s">
        <v>190</v>
      </c>
      <c r="C50" s="1" t="n">
        <v>12</v>
      </c>
      <c r="D50" s="1" t="s">
        <v>31</v>
      </c>
      <c r="E50" s="1" t="s">
        <v>32</v>
      </c>
      <c r="F50" s="1" t="s">
        <v>96</v>
      </c>
      <c r="G50" s="1" t="n">
        <v>390</v>
      </c>
      <c r="H50" s="1" t="n">
        <v>430</v>
      </c>
      <c r="I50" s="1" t="n">
        <v>275</v>
      </c>
      <c r="J50" s="1" t="n">
        <v>4</v>
      </c>
      <c r="K50" s="1" t="n">
        <v>220</v>
      </c>
      <c r="L50" s="1" t="n">
        <v>240.96</v>
      </c>
      <c r="M50" s="3" t="n">
        <f aca="false">L50-(L50*0.1)</f>
        <v>216.864</v>
      </c>
      <c r="N50" s="1" t="s">
        <v>45</v>
      </c>
      <c r="O50" s="1" t="n">
        <v>15</v>
      </c>
      <c r="P50" s="1" t="n">
        <v>90</v>
      </c>
      <c r="Q50" s="1"/>
      <c r="R50" s="1"/>
    </row>
    <row r="51" customFormat="false" ht="12.8" hidden="false" customHeight="false" outlineLevel="0" collapsed="false">
      <c r="A51" s="1" t="s">
        <v>191</v>
      </c>
      <c r="B51" s="1" t="s">
        <v>192</v>
      </c>
      <c r="C51" s="1" t="n">
        <v>13</v>
      </c>
      <c r="D51" s="1" t="s">
        <v>193</v>
      </c>
      <c r="E51" s="1" t="s">
        <v>129</v>
      </c>
      <c r="F51" s="1" t="s">
        <v>194</v>
      </c>
      <c r="G51" s="1" t="n">
        <v>490</v>
      </c>
      <c r="H51" s="1" t="n">
        <v>490</v>
      </c>
      <c r="I51" s="1" t="n">
        <v>350</v>
      </c>
      <c r="J51" s="1" t="n">
        <v>1.95</v>
      </c>
      <c r="K51" s="1" t="n">
        <v>220</v>
      </c>
      <c r="L51" s="1" t="n">
        <v>205.62</v>
      </c>
      <c r="M51" s="3" t="n">
        <f aca="false">L51-(L51*0.1)</f>
        <v>185.058</v>
      </c>
      <c r="N51" s="1" t="s">
        <v>45</v>
      </c>
      <c r="O51" s="1" t="n">
        <v>0</v>
      </c>
      <c r="P51" s="1" t="n">
        <v>90</v>
      </c>
      <c r="Q51" s="1"/>
      <c r="R51" s="1"/>
    </row>
    <row r="52" customFormat="false" ht="12.8" hidden="false" customHeight="false" outlineLevel="0" collapsed="false">
      <c r="A52" s="1" t="s">
        <v>195</v>
      </c>
      <c r="B52" s="1" t="n">
        <v>1</v>
      </c>
      <c r="C52" s="1" t="n">
        <v>101010</v>
      </c>
      <c r="D52" s="1" t="n">
        <v>100</v>
      </c>
      <c r="E52" s="1" t="s">
        <v>79</v>
      </c>
      <c r="F52" s="1" t="s">
        <v>62</v>
      </c>
      <c r="G52" s="1" t="n">
        <v>100</v>
      </c>
      <c r="H52" s="1" t="n">
        <v>100</v>
      </c>
      <c r="I52" s="1" t="n">
        <v>100</v>
      </c>
      <c r="J52" s="1" t="n">
        <v>100</v>
      </c>
      <c r="K52" s="1" t="n">
        <v>100</v>
      </c>
      <c r="L52" s="1" t="n">
        <v>100</v>
      </c>
      <c r="M52" s="3" t="n">
        <f aca="false">L52-(L52*0.1)</f>
        <v>90</v>
      </c>
      <c r="N52" s="1" t="s">
        <v>34</v>
      </c>
      <c r="O52" s="1" t="n">
        <v>0</v>
      </c>
    </row>
    <row r="53" customFormat="false" ht="12.8" hidden="false" customHeight="false" outlineLevel="0" collapsed="false">
      <c r="A53" s="1" t="s">
        <v>75</v>
      </c>
      <c r="B53" s="1" t="s">
        <v>76</v>
      </c>
      <c r="C53" s="1" t="s">
        <v>196</v>
      </c>
      <c r="D53" s="1" t="s">
        <v>78</v>
      </c>
      <c r="E53" s="1" t="s">
        <v>129</v>
      </c>
      <c r="F53" s="1" t="s">
        <v>197</v>
      </c>
      <c r="G53" s="1" t="n">
        <v>410</v>
      </c>
      <c r="H53" s="1" t="n">
        <v>500</v>
      </c>
      <c r="I53" s="1" t="n">
        <v>300</v>
      </c>
      <c r="J53" s="1" t="n">
        <v>45414</v>
      </c>
      <c r="K53" s="1" t="n">
        <v>220</v>
      </c>
      <c r="L53" s="1" t="n">
        <v>26708.04</v>
      </c>
      <c r="M53" s="3" t="n">
        <f aca="false">L53-(L53*0.1)</f>
        <v>24037.236</v>
      </c>
      <c r="N53" s="1" t="s">
        <v>45</v>
      </c>
      <c r="O53" s="1" t="n">
        <v>20</v>
      </c>
      <c r="P53" s="1" t="n">
        <v>210</v>
      </c>
      <c r="Q53" s="1"/>
      <c r="R53" s="1"/>
    </row>
    <row r="54" customFormat="false" ht="12.8" hidden="false" customHeight="false" outlineLevel="0" collapsed="false">
      <c r="A54" s="1" t="s">
        <v>71</v>
      </c>
      <c r="B54" s="1" t="s">
        <v>72</v>
      </c>
      <c r="C54" s="1" t="s">
        <v>198</v>
      </c>
      <c r="D54" s="1" t="s">
        <v>69</v>
      </c>
      <c r="E54" s="1" t="s">
        <v>129</v>
      </c>
      <c r="F54" s="1" t="s">
        <v>87</v>
      </c>
      <c r="G54" s="1" t="n">
        <v>430</v>
      </c>
      <c r="H54" s="1" t="n">
        <v>370</v>
      </c>
      <c r="I54" s="1" t="n">
        <v>210</v>
      </c>
      <c r="J54" s="1" t="n">
        <v>2.2</v>
      </c>
      <c r="K54" s="1" t="n">
        <v>220</v>
      </c>
      <c r="L54" s="1" t="n">
        <v>22142.25</v>
      </c>
      <c r="M54" s="3" t="n">
        <f aca="false">L54-(L54*0.1)</f>
        <v>19928.025</v>
      </c>
      <c r="N54" s="1" t="s">
        <v>45</v>
      </c>
      <c r="O54" s="1" t="n">
        <v>77</v>
      </c>
      <c r="P54" s="1" t="n">
        <v>180</v>
      </c>
      <c r="Q54" s="1"/>
      <c r="R54" s="1"/>
    </row>
    <row r="55" customFormat="false" ht="12.8" hidden="false" customHeight="false" outlineLevel="0" collapsed="false">
      <c r="A55" s="1" t="s">
        <v>71</v>
      </c>
      <c r="B55" s="1" t="s">
        <v>72</v>
      </c>
      <c r="C55" s="1" t="s">
        <v>199</v>
      </c>
      <c r="D55" s="1" t="s">
        <v>69</v>
      </c>
      <c r="E55" s="1" t="s">
        <v>32</v>
      </c>
      <c r="F55" s="1" t="s">
        <v>87</v>
      </c>
      <c r="G55" s="1" t="n">
        <v>4300</v>
      </c>
      <c r="H55" s="1" t="n">
        <v>3700</v>
      </c>
      <c r="I55" s="1" t="n">
        <v>2100</v>
      </c>
      <c r="J55" s="1" t="n">
        <v>2.2</v>
      </c>
      <c r="K55" s="1" t="n">
        <v>220</v>
      </c>
      <c r="L55" s="1" t="n">
        <v>22142.25</v>
      </c>
      <c r="M55" s="3" t="n">
        <f aca="false">L55-(L55*0.1)</f>
        <v>19928.025</v>
      </c>
      <c r="N55" s="1" t="s">
        <v>45</v>
      </c>
      <c r="O55" s="1" t="n">
        <v>77</v>
      </c>
      <c r="P55" s="1" t="n">
        <v>180</v>
      </c>
      <c r="Q55" s="1"/>
      <c r="R55" s="1"/>
    </row>
    <row r="56" customFormat="false" ht="12.8" hidden="false" customHeight="false" outlineLevel="0" collapsed="false">
      <c r="A56" s="1" t="s">
        <v>97</v>
      </c>
      <c r="B56" s="1" t="s">
        <v>98</v>
      </c>
      <c r="C56" s="1" t="s">
        <v>200</v>
      </c>
      <c r="D56" s="1" t="s">
        <v>43</v>
      </c>
      <c r="E56" s="1" t="s">
        <v>201</v>
      </c>
      <c r="F56" s="1" t="s">
        <v>44</v>
      </c>
      <c r="G56" s="1" t="n">
        <v>497</v>
      </c>
      <c r="H56" s="1" t="n">
        <v>592</v>
      </c>
      <c r="I56" s="1" t="n">
        <v>887</v>
      </c>
      <c r="J56" s="1" t="n">
        <v>0.6</v>
      </c>
      <c r="K56" s="1" t="n">
        <v>220</v>
      </c>
      <c r="L56" s="1" t="n">
        <v>151889.52</v>
      </c>
      <c r="M56" s="3" t="n">
        <f aca="false">L56-(L56*0.1)</f>
        <v>136700.568</v>
      </c>
      <c r="N56" s="1" t="s">
        <v>45</v>
      </c>
      <c r="P56" s="1" t="n">
        <v>100</v>
      </c>
      <c r="Q56" s="1"/>
      <c r="R56" s="1"/>
    </row>
    <row r="57" customFormat="false" ht="12.8" hidden="false" customHeight="false" outlineLevel="0" collapsed="false">
      <c r="A57" s="1" t="s">
        <v>71</v>
      </c>
      <c r="B57" s="1" t="s">
        <v>72</v>
      </c>
      <c r="C57" s="1" t="s">
        <v>202</v>
      </c>
      <c r="D57" s="1" t="s">
        <v>69</v>
      </c>
      <c r="E57" s="1" t="s">
        <v>32</v>
      </c>
      <c r="F57" s="1" t="s">
        <v>87</v>
      </c>
      <c r="G57" s="1" t="n">
        <v>430</v>
      </c>
      <c r="H57" s="1" t="n">
        <v>370</v>
      </c>
      <c r="I57" s="1" t="n">
        <v>210</v>
      </c>
      <c r="J57" s="1" t="n">
        <v>2.2</v>
      </c>
      <c r="K57" s="1" t="n">
        <v>220</v>
      </c>
      <c r="L57" s="1" t="n">
        <v>22142.25</v>
      </c>
      <c r="M57" s="3" t="n">
        <f aca="false">L57-(L57*0.1)</f>
        <v>19928.025</v>
      </c>
      <c r="N57" s="1" t="s">
        <v>45</v>
      </c>
      <c r="O57" s="1" t="n">
        <v>77</v>
      </c>
      <c r="P57" s="1" t="n">
        <v>180</v>
      </c>
      <c r="Q57" s="1"/>
      <c r="R57" s="1"/>
    </row>
  </sheetData>
  <hyperlinks>
    <hyperlink ref="Q2" r:id="rId1" display="https://filestorage.com/123/document.pdf https://filestorage.com/123/instruction.doc https://file3.jpeg https://file4.gif"/>
    <hyperlink ref="R2" r:id="rId2" display="https://imgur.com/123/картинка2.png https://imgur.com/123/картинка3.png https://picture3.jpeg https://picture4.gif"/>
    <hyperlink ref="AA2" r:id="rId3" display="https://imgur.com/123/instruction.jpg https://imgur.com/123/картинка3.png"/>
    <hyperlink ref="AB2" r:id="rId4" display="https://imgur.com/123/картинка2.png https://filestorage.com/123/instruction.doc"/>
    <hyperlink ref="Q4" r:id="rId5" display="https://file1.jpg https://file2.png https://file3.jpeg https://file4.gif"/>
    <hyperlink ref="R4" r:id="rId6" display="https://picture1.jpg https://picture2.png https://picture3.jpeg https://picture4.gif"/>
    <hyperlink ref="Q6" r:id="rId7" display="https://file1.jpg https://file2.png https://file3.jpeg https://file4.gif"/>
    <hyperlink ref="R6" r:id="rId8" display="https://picture1.jpg https://picture2.png https://picture3.jpeg https://picture4.gif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2025-05-16T17:36:29Z</dcterms:created>
  <dc:creator/>
  <dc:description/>
  <dc:language>ru-RU</dc:language>
  <cp:lastModifiedBy/>
  <dcterms:modified xsi:type="dcterms:W3CDTF">2025-05-30T17:40:09Z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